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2ef2df48cf5f6ad/Documents/"/>
    </mc:Choice>
  </mc:AlternateContent>
  <xr:revisionPtr revIDLastSave="0" documentId="8_{3611FF08-7796-4010-87AA-14D187C409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WACC Build-Up" sheetId="2" r:id="rId2"/>
    <sheet name="Historical Financials" sheetId="3" r:id="rId3"/>
    <sheet name="Bear Case" sheetId="4" r:id="rId4"/>
    <sheet name="Base Case" sheetId="5" r:id="rId5"/>
    <sheet name="Bull Case" sheetId="6" r:id="rId6"/>
    <sheet name="Sensitivity Analysis" sheetId="7" r:id="rId7"/>
    <sheet name="Comparable Companies" sheetId="8" r:id="rId8"/>
    <sheet name="Football Field" sheetId="9" r:id="rId9"/>
    <sheet name="Model Assumptions" sheetId="10" r:id="rId10"/>
  </sheets>
  <calcPr calcId="0"/>
</workbook>
</file>

<file path=xl/sharedStrings.xml><?xml version="1.0" encoding="utf-8"?>
<sst xmlns="http://schemas.openxmlformats.org/spreadsheetml/2006/main" count="389" uniqueCount="255">
  <si>
    <t>NIKE, INC. (NKE)  —  EQUITY RESEARCH</t>
  </si>
  <si>
    <t>Full DCF &amp; Comparable Company Valuation  |  Analyst-Grade Financial Model</t>
  </si>
  <si>
    <t>Current Price</t>
  </si>
  <si>
    <t>Implied Price (Base)</t>
  </si>
  <si>
    <t>Upside / Downside</t>
  </si>
  <si>
    <t>Rating</t>
  </si>
  <si>
    <t>$75.50</t>
  </si>
  <si>
    <t>$57.71</t>
  </si>
  <si>
    <t>-23.6%</t>
  </si>
  <si>
    <t>UNDERPERFORM</t>
  </si>
  <si>
    <t>SCENARIO SUMMARY</t>
  </si>
  <si>
    <t>Scenario</t>
  </si>
  <si>
    <t>Rev CAGR (5Y)</t>
  </si>
  <si>
    <t>EBITDA Margin (Y5)</t>
  </si>
  <si>
    <t>Implied Price</t>
  </si>
  <si>
    <t>TV Growth Rate</t>
  </si>
  <si>
    <t>Bear</t>
  </si>
  <si>
    <t>1.2%</t>
  </si>
  <si>
    <t>11.4%</t>
  </si>
  <si>
    <t>$40.89</t>
  </si>
  <si>
    <t>-45.8%</t>
  </si>
  <si>
    <t>2.0%</t>
  </si>
  <si>
    <t>Base</t>
  </si>
  <si>
    <t>3.8%</t>
  </si>
  <si>
    <t>13.1%</t>
  </si>
  <si>
    <t>3.0%</t>
  </si>
  <si>
    <t>Bull</t>
  </si>
  <si>
    <t>7.2%</t>
  </si>
  <si>
    <t>14.4%</t>
  </si>
  <si>
    <t>$76.88</t>
  </si>
  <si>
    <t>1.8%</t>
  </si>
  <si>
    <t>3.5%</t>
  </si>
  <si>
    <t>KEY MODEL ASSUMPTIONS</t>
  </si>
  <si>
    <t>WACC: 8.44%   (Ke = 8.91%,  Kd(at) = 3.02%,  Beta = 0.83)</t>
  </si>
  <si>
    <t>Risk-Free Rate: 4.35%   Source: US 10Y Treasury, May 2025 (FRED: DGS10)</t>
  </si>
  <si>
    <t>Equity Risk Premium: 5.50%   Source: Damodaran (NYU Stern), Jan 2025 Implied ERP</t>
  </si>
  <si>
    <t>Shares Outstanding: 1503.0mm   Source: Nike_IS, FY2024 Year-End</t>
  </si>
  <si>
    <t>Net Debt: $67mm   Source: Nike_BS, FY2024 (Total Debt - Cash)</t>
  </si>
  <si>
    <t>Effective Tax Rate: 13.7%   Source: Nike_IS, FY2020-FY2024 average</t>
  </si>
  <si>
    <t>Analysis Date: February 25, 2026</t>
  </si>
  <si>
    <t>WACC BUILD-UP  —  NIKE, INC. (NKE)</t>
  </si>
  <si>
    <t>COST OF EQUITY  (CAPM)</t>
  </si>
  <si>
    <t>Risk-Free Rate (Rf)</t>
  </si>
  <si>
    <t>US 10Y Treasury, May 2025 (FRED: DGS10)</t>
  </si>
  <si>
    <t>Equity Beta (Beta)</t>
  </si>
  <si>
    <t>Bloomberg 5Y monthly regression vs. S&amp;P 500, May 2025</t>
  </si>
  <si>
    <t>Equity Risk Premium (ERP)</t>
  </si>
  <si>
    <t>Damodaran (NYU Stern), Jan 2025 Implied ERP</t>
  </si>
  <si>
    <t>Cost of Equity  [ Ke = Rf + B x ERP ]</t>
  </si>
  <si>
    <t>COST OF DEBT</t>
  </si>
  <si>
    <t>Pre-Tax Cost of Debt</t>
  </si>
  <si>
    <t>NKE 10-K FY2024, Note 9 — Weighted average coupon rate</t>
  </si>
  <si>
    <t>Effective Tax Rate</t>
  </si>
  <si>
    <t>Nike_IS, FY2020-FY2024 average effective tax rate</t>
  </si>
  <si>
    <t>After-Tax Cost of Debt  [ Kd x (1-t) ]</t>
  </si>
  <si>
    <t>CAPITAL STRUCTURE</t>
  </si>
  <si>
    <t>Market Capitalisation ($mm)</t>
  </si>
  <si>
    <t>Current Price x Year-End Shares Outstanding, May 2025</t>
  </si>
  <si>
    <t>Total Debt ($mm)</t>
  </si>
  <si>
    <t>Nike_BS, FY2024 — Current Portion LTD + Long-Term Debt</t>
  </si>
  <si>
    <t>Equity Weight</t>
  </si>
  <si>
    <t>Debt Weight</t>
  </si>
  <si>
    <t>WEIGHTED AVERAGE COST OF CAPITAL</t>
  </si>
  <si>
    <t>WACC  [ Ke x E% + Kd x D% ]</t>
  </si>
  <si>
    <t>NIKE, INC.  —  HISTORICAL FINANCIALS ($mm)  |  FY2020 - FY2024</t>
  </si>
  <si>
    <t>FY2020</t>
  </si>
  <si>
    <t>FY2021</t>
  </si>
  <si>
    <t>FY2022</t>
  </si>
  <si>
    <t>FY2023</t>
  </si>
  <si>
    <t>FY2024</t>
  </si>
  <si>
    <t>INCOME STATEMENT</t>
  </si>
  <si>
    <t>Revenue</t>
  </si>
  <si>
    <t xml:space="preserve">  % Growth</t>
  </si>
  <si>
    <t>Cost of Sales</t>
  </si>
  <si>
    <t>Gross Profit</t>
  </si>
  <si>
    <t xml:space="preserve">  Gross Margin</t>
  </si>
  <si>
    <t>SG&amp;A</t>
  </si>
  <si>
    <t>EBIT</t>
  </si>
  <si>
    <t xml:space="preserve">  EBIT Margin</t>
  </si>
  <si>
    <t>EBITDA</t>
  </si>
  <si>
    <t xml:space="preserve">  EBITDA Margin</t>
  </si>
  <si>
    <t>Income Tax Expense</t>
  </si>
  <si>
    <t xml:space="preserve">  Effective Tax Rate</t>
  </si>
  <si>
    <t>Net Income</t>
  </si>
  <si>
    <t xml:space="preserve">  Net Margin</t>
  </si>
  <si>
    <t>CASH FLOW &amp; CAPEX</t>
  </si>
  <si>
    <t>D&amp;A</t>
  </si>
  <si>
    <t>CapEx</t>
  </si>
  <si>
    <t xml:space="preserve">  CapEx as % Revenue</t>
  </si>
  <si>
    <t>Operating Cash Flow</t>
  </si>
  <si>
    <t>WORKING CAPITAL</t>
  </si>
  <si>
    <t>Accounts Receivable</t>
  </si>
  <si>
    <t>Inventories</t>
  </si>
  <si>
    <t>Accounts Payable</t>
  </si>
  <si>
    <t>Net Working Capital</t>
  </si>
  <si>
    <t xml:space="preserve">  NWC as % Revenue</t>
  </si>
  <si>
    <t>NIKE, INC.  —  BEAR CASE PROJECTIONS ($mm)  |  DTC slowdown, FX headwinds, wholesale channel weakness</t>
  </si>
  <si>
    <t>2025</t>
  </si>
  <si>
    <t>2026</t>
  </si>
  <si>
    <t>2027</t>
  </si>
  <si>
    <t>2028</t>
  </si>
  <si>
    <t>2029</t>
  </si>
  <si>
    <t>Taxes</t>
  </si>
  <si>
    <t>NOPAT</t>
  </si>
  <si>
    <t>FREE CASH FLOW BRIDGE</t>
  </si>
  <si>
    <t xml:space="preserve">  + D&amp;A</t>
  </si>
  <si>
    <t xml:space="preserve">  - CapEx</t>
  </si>
  <si>
    <t xml:space="preserve">  - Change in NWC</t>
  </si>
  <si>
    <t>Unlevered Free Cash Flow</t>
  </si>
  <si>
    <t xml:space="preserve">  Discount Factor</t>
  </si>
  <si>
    <t xml:space="preserve">  PV of FCF</t>
  </si>
  <si>
    <t>DCF VALUATION SUMMARY  —  EQUITY BRIDGE</t>
  </si>
  <si>
    <t>Sum of Discounted FCFs ($mm)</t>
  </si>
  <si>
    <t>Discounted Terminal Value ($mm)</t>
  </si>
  <si>
    <t>Enterprise Value ($mm)</t>
  </si>
  <si>
    <t xml:space="preserve">  (-) Net Debt ($mm)</t>
  </si>
  <si>
    <t xml:space="preserve">  (-) Minority Interest ($mm)</t>
  </si>
  <si>
    <t>Equity Value ($mm)</t>
  </si>
  <si>
    <t xml:space="preserve">  Shares Outstanding (mm)</t>
  </si>
  <si>
    <t>Implied Share Price</t>
  </si>
  <si>
    <t>Current Market Price</t>
  </si>
  <si>
    <t>Premium / (Discount) to Market</t>
  </si>
  <si>
    <t>Terminal Value as % of EV</t>
  </si>
  <si>
    <t>Terminal Growth Rate</t>
  </si>
  <si>
    <t>NIKE, INC.  —  BASE CASE PROJECTIONS ($mm)  |  Gradual recovery, DTC mix shift, China normalization</t>
  </si>
  <si>
    <t>NIKE, INC.  —  BULL CASE PROJECTIONS ($mm)  |  DTC acceleration, strong China recovery, significant margin expansion</t>
  </si>
  <si>
    <t>SENSITIVITY ANALYSIS  —  Implied Share Price  |  WACC vs. Terminal Growth Rate (Base Case FCFs)</t>
  </si>
  <si>
    <t>Note: Gold cell = Base Case assumption. Colour scale: red = low, green = high.</t>
  </si>
  <si>
    <t>WACC \ TV Growth</t>
  </si>
  <si>
    <t>1.0%</t>
  </si>
  <si>
    <t>1.5%</t>
  </si>
  <si>
    <t>2.5%</t>
  </si>
  <si>
    <t>4.0%</t>
  </si>
  <si>
    <t>4.5%</t>
  </si>
  <si>
    <t>7%</t>
  </si>
  <si>
    <t>8%</t>
  </si>
  <si>
    <t>9%</t>
  </si>
  <si>
    <t>10%</t>
  </si>
  <si>
    <t>11%</t>
  </si>
  <si>
    <t>12%</t>
  </si>
  <si>
    <t>COMPARABLE COMPANY ANALYSIS  —  Footwear &amp; Apparel Peers</t>
  </si>
  <si>
    <t>Source: Bloomberg / FactSet Consensus  —  May 2025</t>
  </si>
  <si>
    <t>Company</t>
  </si>
  <si>
    <t>Ticker</t>
  </si>
  <si>
    <t>EV/EBITDA (NTM)</t>
  </si>
  <si>
    <t>P/E (NTM)</t>
  </si>
  <si>
    <t>Rev Growth (NTM)</t>
  </si>
  <si>
    <t>EBITDA Margin</t>
  </si>
  <si>
    <t>Adidas AG</t>
  </si>
  <si>
    <t>ADDYY</t>
  </si>
  <si>
    <t>Under Armour</t>
  </si>
  <si>
    <t>UAA</t>
  </si>
  <si>
    <t>Lululemon</t>
  </si>
  <si>
    <t>LULU</t>
  </si>
  <si>
    <t>On Holding</t>
  </si>
  <si>
    <t>ONON</t>
  </si>
  <si>
    <t>Skechers</t>
  </si>
  <si>
    <t>SKX</t>
  </si>
  <si>
    <t>Mean</t>
  </si>
  <si>
    <t>Median</t>
  </si>
  <si>
    <t>25th Percentile</t>
  </si>
  <si>
    <t>75th Percentile</t>
  </si>
  <si>
    <t>NKE IMPLIED VALUATION FROM COMPS</t>
  </si>
  <si>
    <t>NKE NTM EBITDA ($mm)</t>
  </si>
  <si>
    <t>Peer Median EV/EBITDA</t>
  </si>
  <si>
    <t>Implied EV ($mm)</t>
  </si>
  <si>
    <t>(-) Net Debt ($mm)</t>
  </si>
  <si>
    <t>Implied Equity Value ($mm)</t>
  </si>
  <si>
    <t>FOOTBALL FIELD  —  Valuation Range Summary  |  NIKE, INC. (NKE)</t>
  </si>
  <si>
    <t>Methodology</t>
  </si>
  <si>
    <t>Low</t>
  </si>
  <si>
    <t>High</t>
  </si>
  <si>
    <t>Midpoint</t>
  </si>
  <si>
    <t>vs. Current Price</t>
  </si>
  <si>
    <t>DCF (Bear to Bull)</t>
  </si>
  <si>
    <t>EV/EBITDA Comps Range</t>
  </si>
  <si>
    <t>52-Week Trading Range</t>
  </si>
  <si>
    <t>EV/EBITDA Comps (implied)</t>
  </si>
  <si>
    <t>MODEL ASSUMPTIONS &amp; SOURCE DOCUMENTATION</t>
  </si>
  <si>
    <t>Assumption</t>
  </si>
  <si>
    <t>Value</t>
  </si>
  <si>
    <t>Unit</t>
  </si>
  <si>
    <t>Source / Notes</t>
  </si>
  <si>
    <t>MARKET DATA</t>
  </si>
  <si>
    <t>Current Share Price</t>
  </si>
  <si>
    <t>$</t>
  </si>
  <si>
    <t>Yahoo Finance / Bloomberg, May 2025</t>
  </si>
  <si>
    <t>Shares Outstanding</t>
  </si>
  <si>
    <t>mm</t>
  </si>
  <si>
    <t>Nike_IS, FY2024 Year-End Shares Outstanding</t>
  </si>
  <si>
    <t>Market Capitalisation</t>
  </si>
  <si>
    <t>$mm</t>
  </si>
  <si>
    <t>Current Price x Shares Outstanding</t>
  </si>
  <si>
    <t>52-Week Low</t>
  </si>
  <si>
    <t>Yahoo Finance, May 2025 (hardcoded — update as needed)</t>
  </si>
  <si>
    <t>52-Week High</t>
  </si>
  <si>
    <t>WACC COMPONENTS</t>
  </si>
  <si>
    <t>Risk-Free Rate</t>
  </si>
  <si>
    <t>%</t>
  </si>
  <si>
    <t>Equity Beta</t>
  </si>
  <si>
    <t>x</t>
  </si>
  <si>
    <t>Equity Risk Premium</t>
  </si>
  <si>
    <t>Cost of Equity (CAPM)</t>
  </si>
  <si>
    <t>Derived: Rf + Beta x ERP</t>
  </si>
  <si>
    <t>Derived: Nike_IS FY2020-FY2024 average (Tax / EBT)</t>
  </si>
  <si>
    <t>After-Tax Cost of Debt</t>
  </si>
  <si>
    <t>Derived: Pre-Tax Kd x (1 - Effective Tax Rate)</t>
  </si>
  <si>
    <t>Derived: Market Cap / (Market Cap + Total Debt)</t>
  </si>
  <si>
    <t>WACC</t>
  </si>
  <si>
    <t>Derived: Ke x E% + Kd(at) x D%</t>
  </si>
  <si>
    <t>BALANCE SHEET — EQUITY BRIDGE</t>
  </si>
  <si>
    <t>Cash &amp; Equivalents</t>
  </si>
  <si>
    <t>Nike_BS, FY2024</t>
  </si>
  <si>
    <t>Current Portion of LTD</t>
  </si>
  <si>
    <t>Long-Term Debt</t>
  </si>
  <si>
    <t>Nike_BS, FY2023 (FY2024 format change — see Note 9)</t>
  </si>
  <si>
    <t>Total Debt</t>
  </si>
  <si>
    <t>Current Portion LTD + Long-Term Debt</t>
  </si>
  <si>
    <t>Net Debt</t>
  </si>
  <si>
    <t>Total Debt - Cash (negative = net cash position)</t>
  </si>
  <si>
    <t>Minority Interest</t>
  </si>
  <si>
    <t>Nike_BS, FY2024 — Nike has no minority interest</t>
  </si>
  <si>
    <t>PROJECTION DRIVERS  (FY2020-FY2024 Historical Averages)</t>
  </si>
  <si>
    <t>COGS as % Revenue</t>
  </si>
  <si>
    <t>Derived from Nike_IS: avg(COGS / Revenue)</t>
  </si>
  <si>
    <t>Gross Margin</t>
  </si>
  <si>
    <t>Derived from Nike_IS: avg(Gross Profit / Revenue)</t>
  </si>
  <si>
    <t>SG&amp;A as % Revenue</t>
  </si>
  <si>
    <t>Derived from Nike_IS: avg(SGA / Revenue)</t>
  </si>
  <si>
    <t>D&amp;A as % Revenue</t>
  </si>
  <si>
    <t>Derived from Nike_CF: avg(D&amp;A / Revenue)</t>
  </si>
  <si>
    <t>CapEx as % Revenue</t>
  </si>
  <si>
    <t>Derived from Nike_CF: avg(CapEx / Revenue)</t>
  </si>
  <si>
    <t>NWC as % Revenue</t>
  </si>
  <si>
    <t>Derived from Nike_BS: avg((AR + Inventory - AP) / Revenue)</t>
  </si>
  <si>
    <t>SCENARIO ASSUMPTIONS</t>
  </si>
  <si>
    <t>Bear Rev Growth (Y1-Y5)</t>
  </si>
  <si>
    <t>[0.0, 0.01, 0.01, 0.02, 0.02]</t>
  </si>
  <si>
    <t>DTC slowdown, FX headwinds, wholesale channel weakness</t>
  </si>
  <si>
    <t>Base Rev Growth (Y1-Y5)</t>
  </si>
  <si>
    <t>[0.02, 0.03, 0.04, 0.05, 0.05]</t>
  </si>
  <si>
    <t>Gradual recovery, DTC mix shift, China normalization</t>
  </si>
  <si>
    <t>Bull Rev Growth (Y1-Y5)</t>
  </si>
  <si>
    <t>[0.05, 0.07, 0.08, 0.08, 0.08]</t>
  </si>
  <si>
    <t>DTC acceleration, strong China recovery, significant margin expansion</t>
  </si>
  <si>
    <t>Bear Terminal Growth</t>
  </si>
  <si>
    <t>Conservative: below long-run GDP growth</t>
  </si>
  <si>
    <t>Base Terminal Growth</t>
  </si>
  <si>
    <t>In line with nominal GDP / long-run inflation</t>
  </si>
  <si>
    <t>Bull Terminal Growth</t>
  </si>
  <si>
    <t>DTC-driven above-market steady state</t>
  </si>
  <si>
    <t>COMPARABLE COMPANIES</t>
  </si>
  <si>
    <t>Bloomberg / FactSet Consensus, May 2025</t>
  </si>
  <si>
    <t>Peer Mean EV/EBITDA</t>
  </si>
  <si>
    <t>Peer Median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</si>
</sst>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%;\(0.00%\);&quot;-&quot;"/>
    <numFmt numFmtId="165" formatCode="#,##0;\(#,##0\);&quot;-&quot;"/>
    <numFmt numFmtId="166" formatCode="0.0%;\(0.0%\);&quot;-&quot;"/>
    <numFmt numFmtId="167" formatCode="0.0000"/>
    <numFmt numFmtId="168" formatCode="\$#,##0.00"/>
    <numFmt numFmtId="169" formatCode="0.0\x"/>
  </numFmts>
  <fonts count="18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1"/>
      <color rgb="FFC9A84C"/>
      <name val="Arial"/>
    </font>
    <font>
      <b/>
      <sz val="9"/>
      <color rgb="FF003366"/>
      <name val="Arial"/>
    </font>
    <font>
      <b/>
      <sz val="16"/>
      <color rgb="FF003366"/>
      <name val="Arial"/>
    </font>
    <font>
      <b/>
      <sz val="11"/>
      <color rgb="FF003366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3366"/>
      <name val="Arial"/>
    </font>
    <font>
      <i/>
      <sz val="9"/>
      <color rgb="FF000000"/>
      <name val="Arial"/>
    </font>
    <font>
      <sz val="10"/>
      <color rgb="FF0000FF"/>
      <name val="Arial"/>
    </font>
    <font>
      <i/>
      <sz val="8"/>
      <color rgb="FF666666"/>
      <name val="Arial"/>
    </font>
    <font>
      <b/>
      <sz val="10"/>
      <color rgb="FF008000"/>
      <name val="Arial"/>
    </font>
    <font>
      <i/>
      <sz val="8"/>
      <color rgb="FF555555"/>
      <name val="Arial"/>
    </font>
    <font>
      <sz val="10"/>
      <color rgb="FFFF0000"/>
      <name val="Arial"/>
    </font>
    <font>
      <sz val="10"/>
      <color rgb="FF00B050"/>
      <name val="Arial"/>
    </font>
    <font>
      <sz val="8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5F7FB"/>
      </patternFill>
    </fill>
    <fill>
      <patternFill patternType="solid">
        <fgColor rgb="FF1F3864"/>
      </patternFill>
    </fill>
    <fill>
      <patternFill patternType="solid">
        <fgColor rgb="FFFFD7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/>
    <xf numFmtId="0" fontId="8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2" fontId="11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166" fontId="8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165" fontId="8" fillId="5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7" fontId="8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/>
    <xf numFmtId="0" fontId="8" fillId="5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168" fontId="13" fillId="5" borderId="1" xfId="0" applyNumberFormat="1" applyFont="1" applyFill="1" applyBorder="1" applyAlignment="1">
      <alignment horizontal="right" vertical="center"/>
    </xf>
    <xf numFmtId="168" fontId="8" fillId="4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8" fontId="0" fillId="0" borderId="1" xfId="0" applyNumberFormat="1" applyBorder="1" applyAlignment="1">
      <alignment horizontal="center" vertical="center"/>
    </xf>
    <xf numFmtId="168" fontId="7" fillId="7" borderId="1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right" vertical="center"/>
    </xf>
    <xf numFmtId="169" fontId="8" fillId="5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/>
    <xf numFmtId="169" fontId="7" fillId="8" borderId="1" xfId="0" applyNumberFormat="1" applyFont="1" applyFill="1" applyBorder="1" applyAlignment="1">
      <alignment horizontal="right" vertical="center"/>
    </xf>
    <xf numFmtId="166" fontId="7" fillId="8" borderId="1" xfId="0" applyNumberFormat="1" applyFont="1" applyFill="1" applyBorder="1" applyAlignment="1">
      <alignment horizontal="right" vertical="center"/>
    </xf>
    <xf numFmtId="166" fontId="15" fillId="4" borderId="1" xfId="0" applyNumberFormat="1" applyFont="1" applyFill="1" applyBorder="1" applyAlignment="1">
      <alignment horizontal="right" vertical="center"/>
    </xf>
    <xf numFmtId="168" fontId="8" fillId="5" borderId="1" xfId="0" applyNumberFormat="1" applyFont="1" applyFill="1" applyBorder="1" applyAlignment="1">
      <alignment horizontal="right" vertical="center"/>
    </xf>
    <xf numFmtId="166" fontId="15" fillId="5" borderId="1" xfId="0" applyNumberFormat="1" applyFont="1" applyFill="1" applyBorder="1" applyAlignment="1">
      <alignment horizontal="right" vertical="center"/>
    </xf>
    <xf numFmtId="166" fontId="16" fillId="4" borderId="1" xfId="0" applyNumberFormat="1" applyFont="1" applyFill="1" applyBorder="1" applyAlignment="1">
      <alignment horizontal="right" vertical="center"/>
    </xf>
    <xf numFmtId="165" fontId="11" fillId="4" borderId="1" xfId="0" applyNumberFormat="1" applyFont="1" applyFill="1" applyBorder="1" applyAlignment="1">
      <alignment horizontal="right" vertical="center"/>
    </xf>
    <xf numFmtId="0" fontId="17" fillId="4" borderId="1" xfId="0" applyFont="1" applyFill="1" applyBorder="1"/>
    <xf numFmtId="0" fontId="14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right" vertical="center"/>
    </xf>
    <xf numFmtId="0" fontId="17" fillId="5" borderId="1" xfId="0" applyFont="1" applyFill="1" applyBorder="1"/>
    <xf numFmtId="0" fontId="14" fillId="5" borderId="1" xfId="0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2" fontId="11" fillId="5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2" fontId="11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Valuation Range  —  Football Field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'Football Field'!$B$2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'Football Field'!$A$3:$A$7</c:f>
              <c:strCache>
                <c:ptCount val="5"/>
                <c:pt idx="0">
                  <c:v>DCF (Bear to Bull)</c:v>
                </c:pt>
                <c:pt idx="1">
                  <c:v>EV/EBITDA Comps Range</c:v>
                </c:pt>
                <c:pt idx="2">
                  <c:v>52-Week Trading Range</c:v>
                </c:pt>
                <c:pt idx="3">
                  <c:v>EV/EBITDA Comps (implied)</c:v>
                </c:pt>
                <c:pt idx="4">
                  <c:v>Current Market Price</c:v>
                </c:pt>
              </c:strCache>
            </c:strRef>
          </c:cat>
          <c:val>
            <c:numRef>
              <c:f>'Football Field'!$B$3:$B$6</c:f>
              <c:numCache>
                <c:formatCode>\$#,##0.00</c:formatCode>
                <c:ptCount val="4"/>
                <c:pt idx="0">
                  <c:v>40.887872409189747</c:v>
                </c:pt>
                <c:pt idx="1">
                  <c:v>53.657110028500668</c:v>
                </c:pt>
                <c:pt idx="2">
                  <c:v>70</c:v>
                </c:pt>
                <c:pt idx="3">
                  <c:v>47.582956567873467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7-4CF1-A963-6F7E605E1387}"/>
            </c:ext>
          </c:extLst>
        </c:ser>
        <c:ser>
          <c:idx val="1"/>
          <c:order val="1"/>
          <c:tx>
            <c:strRef>
              <c:f>'Football Field'!$C$2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'Football Field'!$A$3:$A$7</c:f>
              <c:strCache>
                <c:ptCount val="5"/>
                <c:pt idx="0">
                  <c:v>DCF (Bear to Bull)</c:v>
                </c:pt>
                <c:pt idx="1">
                  <c:v>EV/EBITDA Comps Range</c:v>
                </c:pt>
                <c:pt idx="2">
                  <c:v>52-Week Trading Range</c:v>
                </c:pt>
                <c:pt idx="3">
                  <c:v>EV/EBITDA Comps (implied)</c:v>
                </c:pt>
                <c:pt idx="4">
                  <c:v>Current Market Price</c:v>
                </c:pt>
              </c:strCache>
            </c:strRef>
          </c:cat>
          <c:val>
            <c:numRef>
              <c:f>'Football Field'!$C$3:$C$6</c:f>
              <c:numCache>
                <c:formatCode>\$#,##0.00</c:formatCode>
                <c:ptCount val="4"/>
                <c:pt idx="0">
                  <c:v>76.877366718752498</c:v>
                </c:pt>
                <c:pt idx="1">
                  <c:v>66.776414802151479</c:v>
                </c:pt>
                <c:pt idx="2">
                  <c:v>115</c:v>
                </c:pt>
                <c:pt idx="3">
                  <c:v>58.15694691628979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7-4CF1-A963-6F7E605E1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Implied Share Price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4"/>
  <sheetViews>
    <sheetView showGridLines="0" tabSelected="1" workbookViewId="0"/>
  </sheetViews>
  <sheetFormatPr defaultRowHeight="14.5" x14ac:dyDescent="0.35"/>
  <cols>
    <col min="1" max="1" width="2" customWidth="1"/>
    <col min="2" max="13" width="14" customWidth="1"/>
  </cols>
  <sheetData>
    <row r="1" spans="2:13" ht="8" customHeight="1" x14ac:dyDescent="0.35"/>
    <row r="2" spans="2:13" ht="22" customHeight="1" x14ac:dyDescent="0.35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ht="22" customHeight="1" x14ac:dyDescent="0.35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2:13" ht="22" customHeight="1" x14ac:dyDescent="0.35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2:13" ht="20" customHeight="1" x14ac:dyDescent="0.35">
      <c r="B5" s="62" t="s">
        <v>1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7" spans="2:13" x14ac:dyDescent="0.35">
      <c r="B7" s="61" t="s">
        <v>2</v>
      </c>
      <c r="C7" s="58"/>
      <c r="D7" s="58"/>
      <c r="E7" s="61" t="s">
        <v>3</v>
      </c>
      <c r="F7" s="58"/>
      <c r="G7" s="58"/>
      <c r="H7" s="61" t="s">
        <v>4</v>
      </c>
      <c r="I7" s="58"/>
      <c r="J7" s="58"/>
      <c r="K7" s="61" t="s">
        <v>5</v>
      </c>
      <c r="L7" s="58"/>
      <c r="M7" s="58"/>
    </row>
    <row r="8" spans="2:13" ht="20" x14ac:dyDescent="0.35">
      <c r="B8" s="57" t="s">
        <v>6</v>
      </c>
      <c r="C8" s="58"/>
      <c r="D8" s="58"/>
      <c r="E8" s="57" t="s">
        <v>7</v>
      </c>
      <c r="F8" s="58"/>
      <c r="G8" s="58"/>
      <c r="H8" s="57" t="s">
        <v>8</v>
      </c>
      <c r="I8" s="58"/>
      <c r="J8" s="58"/>
      <c r="K8" s="57" t="s">
        <v>9</v>
      </c>
      <c r="L8" s="58"/>
      <c r="M8" s="58"/>
    </row>
    <row r="9" spans="2:13" x14ac:dyDescent="0.35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1" spans="2:13" x14ac:dyDescent="0.35">
      <c r="B11" s="1" t="s">
        <v>10</v>
      </c>
    </row>
    <row r="12" spans="2:13" x14ac:dyDescent="0.35">
      <c r="B12" s="2" t="s">
        <v>11</v>
      </c>
      <c r="C12" s="2" t="s">
        <v>12</v>
      </c>
      <c r="D12" s="2" t="s">
        <v>13</v>
      </c>
      <c r="E12" s="2" t="s">
        <v>14</v>
      </c>
      <c r="F12" s="2" t="s">
        <v>4</v>
      </c>
      <c r="G12" s="2" t="s">
        <v>15</v>
      </c>
    </row>
    <row r="13" spans="2:13" x14ac:dyDescent="0.35">
      <c r="B13" s="3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</row>
    <row r="14" spans="2:13" x14ac:dyDescent="0.35">
      <c r="B14" s="5" t="s">
        <v>22</v>
      </c>
      <c r="C14" s="6" t="s">
        <v>23</v>
      </c>
      <c r="D14" s="6" t="s">
        <v>24</v>
      </c>
      <c r="E14" s="6" t="s">
        <v>7</v>
      </c>
      <c r="F14" s="6" t="s">
        <v>8</v>
      </c>
      <c r="G14" s="6" t="s">
        <v>25</v>
      </c>
    </row>
    <row r="15" spans="2:13" x14ac:dyDescent="0.35">
      <c r="B15" s="3" t="s">
        <v>26</v>
      </c>
      <c r="C15" s="4" t="s">
        <v>27</v>
      </c>
      <c r="D15" s="4" t="s">
        <v>28</v>
      </c>
      <c r="E15" s="4" t="s">
        <v>29</v>
      </c>
      <c r="F15" s="4" t="s">
        <v>30</v>
      </c>
      <c r="G15" s="4" t="s">
        <v>31</v>
      </c>
    </row>
    <row r="17" spans="2:13" x14ac:dyDescent="0.35">
      <c r="B17" s="7" t="s">
        <v>32</v>
      </c>
    </row>
    <row r="18" spans="2:13" x14ac:dyDescent="0.35">
      <c r="B18" s="59" t="s">
        <v>33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2:13" x14ac:dyDescent="0.35">
      <c r="B19" s="59" t="s">
        <v>34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</row>
    <row r="20" spans="2:13" x14ac:dyDescent="0.35">
      <c r="B20" s="59" t="s">
        <v>35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</row>
    <row r="21" spans="2:13" x14ac:dyDescent="0.35">
      <c r="B21" s="59" t="s">
        <v>36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2:13" x14ac:dyDescent="0.35">
      <c r="B22" s="59" t="s">
        <v>37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2:13" x14ac:dyDescent="0.35">
      <c r="B23" s="59" t="s">
        <v>38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spans="2:13" x14ac:dyDescent="0.35">
      <c r="B24" s="59" t="s">
        <v>39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</row>
  </sheetData>
  <mergeCells count="21">
    <mergeCell ref="B24:M24"/>
    <mergeCell ref="B5:M5"/>
    <mergeCell ref="B20:M20"/>
    <mergeCell ref="H8:J8"/>
    <mergeCell ref="B7:D7"/>
    <mergeCell ref="K9:M9"/>
    <mergeCell ref="E8:G8"/>
    <mergeCell ref="B22:M22"/>
    <mergeCell ref="H9:J9"/>
    <mergeCell ref="B18:M18"/>
    <mergeCell ref="B21:M21"/>
    <mergeCell ref="B2:M4"/>
    <mergeCell ref="B8:D8"/>
    <mergeCell ref="B23:M23"/>
    <mergeCell ref="E9:G9"/>
    <mergeCell ref="H7:J7"/>
    <mergeCell ref="K8:M8"/>
    <mergeCell ref="B19:M19"/>
    <mergeCell ref="B9:D9"/>
    <mergeCell ref="E7:G7"/>
    <mergeCell ref="K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workbookViewId="0"/>
  </sheetViews>
  <sheetFormatPr defaultRowHeight="14.5" x14ac:dyDescent="0.35"/>
  <cols>
    <col min="1" max="1" width="38" customWidth="1"/>
    <col min="2" max="2" width="14" customWidth="1"/>
    <col min="3" max="3" width="45" customWidth="1"/>
  </cols>
  <sheetData>
    <row r="1" spans="1:3" x14ac:dyDescent="0.35">
      <c r="A1" s="63" t="s">
        <v>40</v>
      </c>
      <c r="B1" s="60"/>
      <c r="C1" s="60"/>
    </row>
    <row r="2" spans="1:3" x14ac:dyDescent="0.35">
      <c r="A2" s="63" t="s">
        <v>41</v>
      </c>
      <c r="B2" s="60"/>
      <c r="C2" s="60"/>
    </row>
    <row r="3" spans="1:3" x14ac:dyDescent="0.35">
      <c r="A3" s="8" t="s">
        <v>42</v>
      </c>
      <c r="B3" s="9">
        <v>4.3499999999999997E-2</v>
      </c>
      <c r="C3" s="10" t="s">
        <v>43</v>
      </c>
    </row>
    <row r="4" spans="1:3" x14ac:dyDescent="0.35">
      <c r="A4" s="8" t="s">
        <v>44</v>
      </c>
      <c r="B4" s="11">
        <v>0.83</v>
      </c>
      <c r="C4" s="10" t="s">
        <v>45</v>
      </c>
    </row>
    <row r="5" spans="1:3" x14ac:dyDescent="0.35">
      <c r="A5" s="8" t="s">
        <v>46</v>
      </c>
      <c r="B5" s="9">
        <v>5.5E-2</v>
      </c>
      <c r="C5" s="10" t="s">
        <v>47</v>
      </c>
    </row>
    <row r="6" spans="1:3" x14ac:dyDescent="0.35">
      <c r="A6" s="8" t="s">
        <v>48</v>
      </c>
      <c r="B6" s="12">
        <v>8.9149999999999993E-2</v>
      </c>
      <c r="C6" s="10"/>
    </row>
    <row r="7" spans="1:3" x14ac:dyDescent="0.35">
      <c r="A7" s="8"/>
      <c r="C7" s="10"/>
    </row>
    <row r="8" spans="1:3" x14ac:dyDescent="0.35">
      <c r="A8" s="63" t="s">
        <v>49</v>
      </c>
      <c r="B8" s="60"/>
      <c r="C8" s="60"/>
    </row>
    <row r="9" spans="1:3" x14ac:dyDescent="0.35">
      <c r="A9" s="8" t="s">
        <v>50</v>
      </c>
      <c r="B9" s="9">
        <v>3.5000000000000003E-2</v>
      </c>
      <c r="C9" s="10" t="s">
        <v>51</v>
      </c>
    </row>
    <row r="10" spans="1:3" x14ac:dyDescent="0.35">
      <c r="A10" s="8" t="s">
        <v>52</v>
      </c>
      <c r="B10" s="12">
        <v>0.1366733945827775</v>
      </c>
      <c r="C10" s="10" t="s">
        <v>53</v>
      </c>
    </row>
    <row r="11" spans="1:3" x14ac:dyDescent="0.35">
      <c r="A11" s="8" t="s">
        <v>54</v>
      </c>
      <c r="B11" s="12">
        <v>3.021643118960279E-2</v>
      </c>
      <c r="C11" s="10"/>
    </row>
    <row r="12" spans="1:3" x14ac:dyDescent="0.35">
      <c r="A12" s="8"/>
      <c r="C12" s="10"/>
    </row>
    <row r="13" spans="1:3" x14ac:dyDescent="0.35">
      <c r="A13" s="63" t="s">
        <v>55</v>
      </c>
      <c r="B13" s="60"/>
      <c r="C13" s="60"/>
    </row>
    <row r="14" spans="1:3" x14ac:dyDescent="0.35">
      <c r="A14" s="8" t="s">
        <v>56</v>
      </c>
      <c r="B14" s="13">
        <v>113476.5</v>
      </c>
      <c r="C14" s="10" t="s">
        <v>57</v>
      </c>
    </row>
    <row r="15" spans="1:3" x14ac:dyDescent="0.35">
      <c r="A15" s="8" t="s">
        <v>58</v>
      </c>
      <c r="B15" s="13">
        <v>9927</v>
      </c>
      <c r="C15" s="10" t="s">
        <v>59</v>
      </c>
    </row>
    <row r="16" spans="1:3" x14ac:dyDescent="0.35">
      <c r="A16" s="8" t="s">
        <v>60</v>
      </c>
      <c r="B16" s="12">
        <v>0.91955657659628776</v>
      </c>
      <c r="C16" s="10"/>
    </row>
    <row r="17" spans="1:3" x14ac:dyDescent="0.35">
      <c r="A17" s="8" t="s">
        <v>61</v>
      </c>
      <c r="B17" s="12">
        <v>8.0443423403712244E-2</v>
      </c>
      <c r="C17" s="10"/>
    </row>
    <row r="18" spans="1:3" x14ac:dyDescent="0.35">
      <c r="A18" s="8"/>
      <c r="C18" s="10"/>
    </row>
    <row r="19" spans="1:3" x14ac:dyDescent="0.35">
      <c r="A19" s="63" t="s">
        <v>62</v>
      </c>
      <c r="B19" s="60"/>
      <c r="C19" s="60"/>
    </row>
    <row r="20" spans="1:3" x14ac:dyDescent="0.35">
      <c r="A20" s="14" t="s">
        <v>63</v>
      </c>
      <c r="B20" s="15">
        <v>8.4409181971493399E-2</v>
      </c>
      <c r="C20" s="10"/>
    </row>
  </sheetData>
  <mergeCells count="5">
    <mergeCell ref="A19:C19"/>
    <mergeCell ref="A13:C13"/>
    <mergeCell ref="A1:C1"/>
    <mergeCell ref="A8:C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workbookViewId="0"/>
  </sheetViews>
  <sheetFormatPr defaultRowHeight="14.5" x14ac:dyDescent="0.35"/>
  <cols>
    <col min="1" max="1" width="38" customWidth="1"/>
    <col min="2" max="7" width="12" customWidth="1"/>
  </cols>
  <sheetData>
    <row r="1" spans="1:6" x14ac:dyDescent="0.35">
      <c r="A1" s="63" t="s">
        <v>64</v>
      </c>
      <c r="B1" s="60"/>
      <c r="C1" s="60"/>
      <c r="D1" s="60"/>
      <c r="E1" s="60"/>
      <c r="F1" s="60"/>
    </row>
    <row r="2" spans="1:6" x14ac:dyDescent="0.35">
      <c r="A2" s="2"/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</row>
    <row r="3" spans="1:6" x14ac:dyDescent="0.35">
      <c r="A3" s="63" t="s">
        <v>70</v>
      </c>
      <c r="B3" s="60"/>
      <c r="C3" s="60"/>
      <c r="D3" s="60"/>
      <c r="E3" s="60"/>
      <c r="F3" s="60"/>
    </row>
    <row r="4" spans="1:6" x14ac:dyDescent="0.35">
      <c r="A4" s="5" t="s">
        <v>71</v>
      </c>
      <c r="B4" s="16">
        <v>37403</v>
      </c>
      <c r="C4" s="16">
        <v>44538</v>
      </c>
      <c r="D4" s="16">
        <v>46710</v>
      </c>
      <c r="E4" s="16">
        <v>51217</v>
      </c>
      <c r="F4" s="16">
        <v>51362</v>
      </c>
    </row>
    <row r="5" spans="1:6" x14ac:dyDescent="0.35">
      <c r="A5" s="17" t="s">
        <v>72</v>
      </c>
      <c r="B5" s="18"/>
      <c r="C5" s="18">
        <v>19.079999999999998</v>
      </c>
      <c r="D5" s="18">
        <v>4.88</v>
      </c>
      <c r="E5" s="18">
        <v>9.65</v>
      </c>
      <c r="F5" s="18">
        <v>0.28000000000000003</v>
      </c>
    </row>
    <row r="6" spans="1:6" x14ac:dyDescent="0.35">
      <c r="A6" s="19" t="s">
        <v>73</v>
      </c>
      <c r="B6" s="20">
        <v>21162</v>
      </c>
      <c r="C6" s="20">
        <v>24576</v>
      </c>
      <c r="D6" s="20">
        <v>25231</v>
      </c>
      <c r="E6" s="20">
        <v>28925</v>
      </c>
      <c r="F6" s="20">
        <v>28475</v>
      </c>
    </row>
    <row r="7" spans="1:6" x14ac:dyDescent="0.35">
      <c r="A7" s="3" t="s">
        <v>74</v>
      </c>
      <c r="B7" s="21">
        <v>16241</v>
      </c>
      <c r="C7" s="21">
        <v>19962</v>
      </c>
      <c r="D7" s="21">
        <v>21479</v>
      </c>
      <c r="E7" s="21">
        <v>22292</v>
      </c>
      <c r="F7" s="21">
        <v>22887</v>
      </c>
    </row>
    <row r="8" spans="1:6" x14ac:dyDescent="0.35">
      <c r="A8" s="19" t="s">
        <v>75</v>
      </c>
      <c r="B8" s="22">
        <v>43.42</v>
      </c>
      <c r="C8" s="22">
        <v>44.82</v>
      </c>
      <c r="D8" s="22">
        <v>45.98</v>
      </c>
      <c r="E8" s="22">
        <v>43.52</v>
      </c>
      <c r="F8" s="22">
        <v>44.56</v>
      </c>
    </row>
    <row r="9" spans="1:6" x14ac:dyDescent="0.35">
      <c r="A9" s="17" t="s">
        <v>76</v>
      </c>
      <c r="B9" s="23">
        <v>13126</v>
      </c>
      <c r="C9" s="23">
        <v>13025</v>
      </c>
      <c r="D9" s="23">
        <v>14804</v>
      </c>
      <c r="E9" s="23">
        <v>16377</v>
      </c>
      <c r="F9" s="23">
        <v>16576</v>
      </c>
    </row>
    <row r="10" spans="1:6" x14ac:dyDescent="0.35">
      <c r="A10" s="5" t="s">
        <v>77</v>
      </c>
      <c r="B10" s="16">
        <v>2887</v>
      </c>
      <c r="C10" s="16">
        <v>6661</v>
      </c>
      <c r="D10" s="16">
        <v>6651</v>
      </c>
      <c r="E10" s="16">
        <v>6201</v>
      </c>
      <c r="F10" s="16">
        <v>6700</v>
      </c>
    </row>
    <row r="11" spans="1:6" x14ac:dyDescent="0.35">
      <c r="A11" s="17" t="s">
        <v>78</v>
      </c>
      <c r="B11" s="18">
        <v>7.72</v>
      </c>
      <c r="C11" s="18">
        <v>14.96</v>
      </c>
      <c r="D11" s="18">
        <v>14.24</v>
      </c>
      <c r="E11" s="18">
        <v>12.11</v>
      </c>
      <c r="F11" s="18">
        <v>13.04</v>
      </c>
    </row>
    <row r="12" spans="1:6" x14ac:dyDescent="0.35">
      <c r="A12" s="5" t="s">
        <v>79</v>
      </c>
      <c r="B12" s="16">
        <v>4006</v>
      </c>
      <c r="C12" s="16">
        <v>7458</v>
      </c>
      <c r="D12" s="16">
        <v>7491</v>
      </c>
      <c r="E12" s="16">
        <v>7060</v>
      </c>
      <c r="F12" s="16">
        <v>7544</v>
      </c>
    </row>
    <row r="13" spans="1:6" x14ac:dyDescent="0.35">
      <c r="A13" s="17" t="s">
        <v>80</v>
      </c>
      <c r="B13" s="18">
        <v>10.71</v>
      </c>
      <c r="C13" s="18">
        <v>16.75</v>
      </c>
      <c r="D13" s="18">
        <v>16.04</v>
      </c>
      <c r="E13" s="18">
        <v>13.78</v>
      </c>
      <c r="F13" s="18">
        <v>14.69</v>
      </c>
    </row>
    <row r="14" spans="1:6" x14ac:dyDescent="0.35">
      <c r="A14" s="19" t="s">
        <v>81</v>
      </c>
      <c r="B14" s="20">
        <v>348</v>
      </c>
      <c r="C14" s="20">
        <v>934</v>
      </c>
      <c r="D14" s="20">
        <v>605</v>
      </c>
      <c r="E14" s="20">
        <v>1131</v>
      </c>
      <c r="F14" s="20">
        <v>1000</v>
      </c>
    </row>
    <row r="15" spans="1:6" x14ac:dyDescent="0.35">
      <c r="A15" s="17" t="s">
        <v>82</v>
      </c>
      <c r="B15" s="18">
        <v>12.05</v>
      </c>
      <c r="C15" s="18">
        <v>14.02</v>
      </c>
      <c r="D15" s="18">
        <v>9.1</v>
      </c>
      <c r="E15" s="18">
        <v>18.239999999999998</v>
      </c>
      <c r="F15" s="18">
        <v>14.93</v>
      </c>
    </row>
    <row r="16" spans="1:6" x14ac:dyDescent="0.35">
      <c r="A16" s="5" t="s">
        <v>83</v>
      </c>
      <c r="B16" s="16">
        <v>2539</v>
      </c>
      <c r="C16" s="16">
        <v>5727</v>
      </c>
      <c r="D16" s="16">
        <v>6046</v>
      </c>
      <c r="E16" s="16">
        <v>5070</v>
      </c>
      <c r="F16" s="16">
        <v>5700</v>
      </c>
    </row>
    <row r="17" spans="1:6" x14ac:dyDescent="0.35">
      <c r="A17" s="17" t="s">
        <v>84</v>
      </c>
      <c r="B17" s="18">
        <v>6.79</v>
      </c>
      <c r="C17" s="18">
        <v>12.86</v>
      </c>
      <c r="D17" s="18">
        <v>12.94</v>
      </c>
      <c r="E17" s="18">
        <v>9.9</v>
      </c>
      <c r="F17" s="18">
        <v>11.1</v>
      </c>
    </row>
    <row r="18" spans="1:6" x14ac:dyDescent="0.35">
      <c r="A18" s="63" t="s">
        <v>85</v>
      </c>
      <c r="B18" s="60"/>
      <c r="C18" s="60"/>
      <c r="D18" s="60"/>
      <c r="E18" s="60"/>
      <c r="F18" s="60"/>
    </row>
    <row r="19" spans="1:6" x14ac:dyDescent="0.35">
      <c r="A19" s="17" t="s">
        <v>86</v>
      </c>
      <c r="B19" s="23">
        <v>1119</v>
      </c>
      <c r="C19" s="23">
        <v>797</v>
      </c>
      <c r="D19" s="23">
        <v>840</v>
      </c>
      <c r="E19" s="23">
        <v>859</v>
      </c>
      <c r="F19" s="23">
        <v>844</v>
      </c>
    </row>
    <row r="20" spans="1:6" x14ac:dyDescent="0.35">
      <c r="A20" s="19" t="s">
        <v>87</v>
      </c>
      <c r="B20" s="20">
        <v>1086</v>
      </c>
      <c r="C20" s="20">
        <v>695</v>
      </c>
      <c r="D20" s="20">
        <v>758</v>
      </c>
      <c r="E20" s="20">
        <v>969</v>
      </c>
      <c r="F20" s="20">
        <v>812</v>
      </c>
    </row>
    <row r="21" spans="1:6" x14ac:dyDescent="0.35">
      <c r="A21" s="17" t="s">
        <v>88</v>
      </c>
      <c r="B21" s="18">
        <v>2.9</v>
      </c>
      <c r="C21" s="18">
        <v>1.56</v>
      </c>
      <c r="D21" s="18">
        <v>1.62</v>
      </c>
      <c r="E21" s="18">
        <v>1.89</v>
      </c>
      <c r="F21" s="18">
        <v>1.58</v>
      </c>
    </row>
    <row r="22" spans="1:6" x14ac:dyDescent="0.35">
      <c r="A22" s="5" t="s">
        <v>89</v>
      </c>
      <c r="B22" s="16">
        <v>2485</v>
      </c>
      <c r="C22" s="16">
        <v>6657</v>
      </c>
      <c r="D22" s="16">
        <v>5188</v>
      </c>
      <c r="E22" s="16">
        <v>5841</v>
      </c>
      <c r="F22" s="16">
        <v>7429</v>
      </c>
    </row>
    <row r="23" spans="1:6" x14ac:dyDescent="0.35">
      <c r="A23" s="63" t="s">
        <v>90</v>
      </c>
      <c r="B23" s="60"/>
      <c r="C23" s="60"/>
      <c r="D23" s="60"/>
      <c r="E23" s="60"/>
      <c r="F23" s="60"/>
    </row>
    <row r="24" spans="1:6" x14ac:dyDescent="0.35">
      <c r="A24" s="19" t="s">
        <v>91</v>
      </c>
      <c r="B24" s="20">
        <v>2749</v>
      </c>
      <c r="C24" s="20">
        <v>4463</v>
      </c>
      <c r="D24" s="20">
        <v>4667</v>
      </c>
      <c r="E24" s="20">
        <v>4131</v>
      </c>
      <c r="F24" s="20">
        <v>4427</v>
      </c>
    </row>
    <row r="25" spans="1:6" x14ac:dyDescent="0.35">
      <c r="A25" s="17" t="s">
        <v>92</v>
      </c>
      <c r="B25" s="23">
        <v>7367</v>
      </c>
      <c r="C25" s="23">
        <v>6854</v>
      </c>
      <c r="D25" s="23">
        <v>8420</v>
      </c>
      <c r="E25" s="23">
        <v>8454</v>
      </c>
      <c r="F25" s="23">
        <v>7519</v>
      </c>
    </row>
    <row r="26" spans="1:6" x14ac:dyDescent="0.35">
      <c r="A26" s="19" t="s">
        <v>93</v>
      </c>
      <c r="B26" s="20">
        <v>2248</v>
      </c>
      <c r="C26" s="20">
        <v>2836</v>
      </c>
      <c r="D26" s="20">
        <v>3358</v>
      </c>
      <c r="E26" s="20">
        <v>2862</v>
      </c>
      <c r="F26" s="20">
        <v>2851</v>
      </c>
    </row>
    <row r="27" spans="1:6" x14ac:dyDescent="0.35">
      <c r="A27" s="3" t="s">
        <v>94</v>
      </c>
      <c r="B27" s="21">
        <v>7868</v>
      </c>
      <c r="C27" s="21">
        <v>8481</v>
      </c>
      <c r="D27" s="21">
        <v>9729</v>
      </c>
      <c r="E27" s="21">
        <v>9723</v>
      </c>
      <c r="F27" s="21">
        <v>9095</v>
      </c>
    </row>
    <row r="28" spans="1:6" x14ac:dyDescent="0.35">
      <c r="A28" s="19" t="s">
        <v>95</v>
      </c>
      <c r="B28" s="22">
        <v>21.04</v>
      </c>
      <c r="C28" s="22">
        <v>19.04</v>
      </c>
      <c r="D28" s="22">
        <v>20.83</v>
      </c>
      <c r="E28" s="22">
        <v>18.98</v>
      </c>
      <c r="F28" s="22">
        <v>17.71</v>
      </c>
    </row>
  </sheetData>
  <mergeCells count="4">
    <mergeCell ref="A3:F3"/>
    <mergeCell ref="A1:F1"/>
    <mergeCell ref="A18:F18"/>
    <mergeCell ref="A23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/>
  </sheetViews>
  <sheetFormatPr defaultRowHeight="14.5" x14ac:dyDescent="0.35"/>
  <cols>
    <col min="1" max="1" width="36" customWidth="1"/>
    <col min="2" max="7" width="13" customWidth="1"/>
  </cols>
  <sheetData>
    <row r="1" spans="1:6" x14ac:dyDescent="0.35">
      <c r="A1" s="63" t="s">
        <v>96</v>
      </c>
      <c r="B1" s="60"/>
      <c r="C1" s="60"/>
      <c r="D1" s="60"/>
      <c r="E1" s="60"/>
      <c r="F1" s="60"/>
    </row>
    <row r="2" spans="1:6" x14ac:dyDescent="0.35">
      <c r="A2" s="2"/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</row>
    <row r="3" spans="1:6" x14ac:dyDescent="0.35">
      <c r="A3" s="63" t="s">
        <v>70</v>
      </c>
      <c r="B3" s="60"/>
      <c r="C3" s="60"/>
      <c r="D3" s="60"/>
      <c r="E3" s="60"/>
      <c r="F3" s="60"/>
    </row>
    <row r="4" spans="1:6" x14ac:dyDescent="0.35">
      <c r="A4" s="5" t="s">
        <v>71</v>
      </c>
      <c r="B4" s="16">
        <v>51362</v>
      </c>
      <c r="C4" s="16">
        <v>51875.6</v>
      </c>
      <c r="D4" s="16">
        <v>52394.400000000001</v>
      </c>
      <c r="E4" s="16">
        <v>53442.3</v>
      </c>
      <c r="F4" s="16">
        <v>54511.1</v>
      </c>
    </row>
    <row r="5" spans="1:6" x14ac:dyDescent="0.35">
      <c r="A5" s="17" t="s">
        <v>72</v>
      </c>
      <c r="B5" s="18">
        <v>0</v>
      </c>
      <c r="C5" s="18">
        <v>1</v>
      </c>
      <c r="D5" s="18">
        <v>1</v>
      </c>
      <c r="E5" s="18">
        <v>2</v>
      </c>
      <c r="F5" s="18">
        <v>2</v>
      </c>
    </row>
    <row r="6" spans="1:6" x14ac:dyDescent="0.35">
      <c r="A6" s="19" t="s">
        <v>74</v>
      </c>
      <c r="B6" s="20">
        <v>22733.9</v>
      </c>
      <c r="C6" s="20">
        <v>22857.5</v>
      </c>
      <c r="D6" s="20">
        <v>22981.3</v>
      </c>
      <c r="E6" s="20">
        <v>23334</v>
      </c>
      <c r="F6" s="20">
        <v>23691.7</v>
      </c>
    </row>
    <row r="7" spans="1:6" x14ac:dyDescent="0.35">
      <c r="A7" s="17" t="s">
        <v>75</v>
      </c>
      <c r="B7" s="18">
        <v>44.262065057584813</v>
      </c>
      <c r="C7" s="18">
        <v>44.062065057584817</v>
      </c>
      <c r="D7" s="18">
        <v>43.862065057584807</v>
      </c>
      <c r="E7" s="18">
        <v>43.662065057584812</v>
      </c>
      <c r="F7" s="18">
        <v>43.462065057584823</v>
      </c>
    </row>
    <row r="8" spans="1:6" x14ac:dyDescent="0.35">
      <c r="A8" s="19" t="s">
        <v>76</v>
      </c>
      <c r="B8" s="20">
        <v>23375.8</v>
      </c>
      <c r="C8" s="20">
        <v>23817.1</v>
      </c>
      <c r="D8" s="20">
        <v>24264.799999999999</v>
      </c>
      <c r="E8" s="20">
        <v>24963.9</v>
      </c>
      <c r="F8" s="20">
        <v>25681.200000000001</v>
      </c>
    </row>
    <row r="9" spans="1:6" x14ac:dyDescent="0.35">
      <c r="A9" s="3" t="s">
        <v>79</v>
      </c>
      <c r="B9" s="21">
        <v>6269.3</v>
      </c>
      <c r="C9" s="21">
        <v>6228.2</v>
      </c>
      <c r="D9" s="21">
        <v>6185.7</v>
      </c>
      <c r="E9" s="21">
        <v>6202.5</v>
      </c>
      <c r="F9" s="21">
        <v>6217.6</v>
      </c>
    </row>
    <row r="10" spans="1:6" x14ac:dyDescent="0.35">
      <c r="A10" s="19" t="s">
        <v>80</v>
      </c>
      <c r="B10" s="22">
        <v>12.206033673325029</v>
      </c>
      <c r="C10" s="22">
        <v>12.00603367332503</v>
      </c>
      <c r="D10" s="22">
        <v>11.806033673325031</v>
      </c>
      <c r="E10" s="22">
        <v>11.60603367332503</v>
      </c>
      <c r="F10" s="22">
        <v>11.40603367332503</v>
      </c>
    </row>
    <row r="11" spans="1:6" x14ac:dyDescent="0.35">
      <c r="A11" s="17" t="s">
        <v>86</v>
      </c>
      <c r="B11" s="23">
        <v>1017</v>
      </c>
      <c r="C11" s="23">
        <v>1027.0999999999999</v>
      </c>
      <c r="D11" s="23">
        <v>1037.4000000000001</v>
      </c>
      <c r="E11" s="23">
        <v>1058.2</v>
      </c>
      <c r="F11" s="23">
        <v>1079.3</v>
      </c>
    </row>
    <row r="12" spans="1:6" x14ac:dyDescent="0.35">
      <c r="A12" s="5" t="s">
        <v>77</v>
      </c>
      <c r="B12" s="16">
        <v>5252.3</v>
      </c>
      <c r="C12" s="16">
        <v>5201.1000000000004</v>
      </c>
      <c r="D12" s="16">
        <v>5148.3</v>
      </c>
      <c r="E12" s="16">
        <v>5144.3999999999996</v>
      </c>
      <c r="F12" s="16">
        <v>5138.2</v>
      </c>
    </row>
    <row r="13" spans="1:6" x14ac:dyDescent="0.35">
      <c r="A13" s="17" t="s">
        <v>102</v>
      </c>
      <c r="B13" s="23">
        <v>717.8</v>
      </c>
      <c r="C13" s="23">
        <v>710.8</v>
      </c>
      <c r="D13" s="23">
        <v>703.6</v>
      </c>
      <c r="E13" s="23">
        <v>703.1</v>
      </c>
      <c r="F13" s="23">
        <v>702.3</v>
      </c>
    </row>
    <row r="14" spans="1:6" x14ac:dyDescent="0.35">
      <c r="A14" s="5" t="s">
        <v>103</v>
      </c>
      <c r="B14" s="16">
        <v>4534.3999999999996</v>
      </c>
      <c r="C14" s="16">
        <v>4490.2</v>
      </c>
      <c r="D14" s="16">
        <v>4444.7</v>
      </c>
      <c r="E14" s="16">
        <v>4441.3</v>
      </c>
      <c r="F14" s="16">
        <v>4436</v>
      </c>
    </row>
    <row r="15" spans="1:6" x14ac:dyDescent="0.35">
      <c r="A15" s="63" t="s">
        <v>104</v>
      </c>
      <c r="B15" s="60"/>
      <c r="C15" s="60"/>
      <c r="D15" s="60"/>
      <c r="E15" s="60"/>
      <c r="F15" s="60"/>
    </row>
    <row r="16" spans="1:6" x14ac:dyDescent="0.35">
      <c r="A16" s="19" t="s">
        <v>103</v>
      </c>
      <c r="B16" s="20">
        <v>4534.3999999999996</v>
      </c>
      <c r="C16" s="20">
        <v>4490.2</v>
      </c>
      <c r="D16" s="20">
        <v>4444.7</v>
      </c>
      <c r="E16" s="20">
        <v>4441.3</v>
      </c>
      <c r="F16" s="20">
        <v>4436</v>
      </c>
    </row>
    <row r="17" spans="1:6" x14ac:dyDescent="0.35">
      <c r="A17" s="17" t="s">
        <v>105</v>
      </c>
      <c r="B17" s="23">
        <v>1017</v>
      </c>
      <c r="C17" s="23">
        <v>1027.0999999999999</v>
      </c>
      <c r="D17" s="23">
        <v>1037.4000000000001</v>
      </c>
      <c r="E17" s="23">
        <v>1058.2</v>
      </c>
      <c r="F17" s="23">
        <v>1079.3</v>
      </c>
    </row>
    <row r="18" spans="1:6" x14ac:dyDescent="0.35">
      <c r="A18" s="19" t="s">
        <v>106</v>
      </c>
      <c r="B18" s="20">
        <v>-982</v>
      </c>
      <c r="C18" s="20">
        <v>-991.8</v>
      </c>
      <c r="D18" s="20">
        <v>-1001.7</v>
      </c>
      <c r="E18" s="20">
        <v>-1021.8</v>
      </c>
      <c r="F18" s="20">
        <v>-1042.2</v>
      </c>
    </row>
    <row r="19" spans="1:6" x14ac:dyDescent="0.35">
      <c r="A19" s="17" t="s">
        <v>107</v>
      </c>
      <c r="B19" s="23">
        <v>-930.7</v>
      </c>
      <c r="C19" s="23">
        <v>-100.3</v>
      </c>
      <c r="D19" s="23">
        <v>-101.3</v>
      </c>
      <c r="E19" s="23">
        <v>-204.5</v>
      </c>
      <c r="F19" s="23">
        <v>-208.6</v>
      </c>
    </row>
    <row r="20" spans="1:6" x14ac:dyDescent="0.35">
      <c r="A20" s="5" t="s">
        <v>108</v>
      </c>
      <c r="B20" s="16">
        <v>3638.8</v>
      </c>
      <c r="C20" s="16">
        <v>4425.3</v>
      </c>
      <c r="D20" s="16">
        <v>4379.1000000000004</v>
      </c>
      <c r="E20" s="16">
        <v>4273.1000000000004</v>
      </c>
      <c r="F20" s="16">
        <v>4264.3999999999996</v>
      </c>
    </row>
    <row r="21" spans="1:6" x14ac:dyDescent="0.35">
      <c r="A21" s="17" t="s">
        <v>109</v>
      </c>
      <c r="B21" s="24">
        <v>0.92220000000000002</v>
      </c>
      <c r="C21" s="24">
        <v>0.85040000000000004</v>
      </c>
      <c r="D21" s="24">
        <v>0.78420000000000001</v>
      </c>
      <c r="E21" s="24">
        <v>0.72309999999999997</v>
      </c>
      <c r="F21" s="24">
        <v>0.66690000000000005</v>
      </c>
    </row>
    <row r="22" spans="1:6" x14ac:dyDescent="0.35">
      <c r="A22" s="19" t="s">
        <v>110</v>
      </c>
      <c r="B22" s="20">
        <v>3355.5</v>
      </c>
      <c r="C22" s="20">
        <v>3763.2</v>
      </c>
      <c r="D22" s="20">
        <v>3434</v>
      </c>
      <c r="E22" s="20">
        <v>3090.1</v>
      </c>
      <c r="F22" s="20">
        <v>2843.8</v>
      </c>
    </row>
    <row r="24" spans="1:6" x14ac:dyDescent="0.35">
      <c r="A24" s="63" t="s">
        <v>111</v>
      </c>
      <c r="B24" s="60"/>
      <c r="C24" s="60"/>
    </row>
    <row r="25" spans="1:6" x14ac:dyDescent="0.35">
      <c r="A25" s="25" t="s">
        <v>112</v>
      </c>
      <c r="B25" s="23">
        <v>16486.57</v>
      </c>
    </row>
    <row r="26" spans="1:6" x14ac:dyDescent="0.35">
      <c r="A26" s="26" t="s">
        <v>113</v>
      </c>
      <c r="B26" s="20">
        <v>45034.9</v>
      </c>
    </row>
    <row r="27" spans="1:6" x14ac:dyDescent="0.35">
      <c r="A27" s="27" t="s">
        <v>114</v>
      </c>
      <c r="B27" s="21">
        <v>61521.47</v>
      </c>
    </row>
    <row r="28" spans="1:6" x14ac:dyDescent="0.35">
      <c r="A28" s="26" t="s">
        <v>115</v>
      </c>
      <c r="B28" s="20">
        <v>67</v>
      </c>
    </row>
    <row r="29" spans="1:6" x14ac:dyDescent="0.35">
      <c r="A29" s="25" t="s">
        <v>116</v>
      </c>
      <c r="B29" s="23">
        <v>0</v>
      </c>
    </row>
    <row r="30" spans="1:6" x14ac:dyDescent="0.35">
      <c r="A30" s="28" t="s">
        <v>117</v>
      </c>
      <c r="B30" s="16">
        <v>61454.47</v>
      </c>
    </row>
    <row r="31" spans="1:6" x14ac:dyDescent="0.35">
      <c r="A31" s="25" t="s">
        <v>118</v>
      </c>
      <c r="B31" s="23">
        <v>1503</v>
      </c>
    </row>
    <row r="32" spans="1:6" x14ac:dyDescent="0.35">
      <c r="A32" s="28" t="s">
        <v>119</v>
      </c>
      <c r="B32" s="29">
        <v>40.89</v>
      </c>
    </row>
    <row r="33" spans="1:2" x14ac:dyDescent="0.35">
      <c r="A33" s="25" t="s">
        <v>120</v>
      </c>
      <c r="B33" s="30">
        <v>75.5</v>
      </c>
    </row>
    <row r="34" spans="1:2" x14ac:dyDescent="0.35">
      <c r="A34" s="28" t="s">
        <v>121</v>
      </c>
      <c r="B34" s="31">
        <v>-45.84</v>
      </c>
    </row>
    <row r="35" spans="1:2" x14ac:dyDescent="0.35">
      <c r="A35" s="25" t="s">
        <v>122</v>
      </c>
      <c r="B35" s="18">
        <v>73.2</v>
      </c>
    </row>
    <row r="36" spans="1:2" x14ac:dyDescent="0.35">
      <c r="A36" s="26" t="s">
        <v>123</v>
      </c>
      <c r="B36" s="22">
        <v>2</v>
      </c>
    </row>
  </sheetData>
  <mergeCells count="4">
    <mergeCell ref="A3:F3"/>
    <mergeCell ref="A24:C24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showGridLines="0" workbookViewId="0"/>
  </sheetViews>
  <sheetFormatPr defaultRowHeight="14.5" x14ac:dyDescent="0.35"/>
  <cols>
    <col min="1" max="1" width="36" customWidth="1"/>
    <col min="2" max="7" width="13" customWidth="1"/>
  </cols>
  <sheetData>
    <row r="1" spans="1:6" x14ac:dyDescent="0.35">
      <c r="A1" s="63" t="s">
        <v>124</v>
      </c>
      <c r="B1" s="60"/>
      <c r="C1" s="60"/>
      <c r="D1" s="60"/>
      <c r="E1" s="60"/>
      <c r="F1" s="60"/>
    </row>
    <row r="2" spans="1:6" x14ac:dyDescent="0.35">
      <c r="A2" s="2"/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</row>
    <row r="3" spans="1:6" x14ac:dyDescent="0.35">
      <c r="A3" s="63" t="s">
        <v>70</v>
      </c>
      <c r="B3" s="60"/>
      <c r="C3" s="60"/>
      <c r="D3" s="60"/>
      <c r="E3" s="60"/>
      <c r="F3" s="60"/>
    </row>
    <row r="4" spans="1:6" x14ac:dyDescent="0.35">
      <c r="A4" s="5" t="s">
        <v>71</v>
      </c>
      <c r="B4" s="16">
        <v>52389.2</v>
      </c>
      <c r="C4" s="16">
        <v>53960.9</v>
      </c>
      <c r="D4" s="16">
        <v>56119.4</v>
      </c>
      <c r="E4" s="16">
        <v>58925.3</v>
      </c>
      <c r="F4" s="16">
        <v>61871.6</v>
      </c>
    </row>
    <row r="5" spans="1:6" x14ac:dyDescent="0.35">
      <c r="A5" s="17" t="s">
        <v>72</v>
      </c>
      <c r="B5" s="18">
        <v>2</v>
      </c>
      <c r="C5" s="18">
        <v>3</v>
      </c>
      <c r="D5" s="18">
        <v>4</v>
      </c>
      <c r="E5" s="18">
        <v>5</v>
      </c>
      <c r="F5" s="18">
        <v>5</v>
      </c>
    </row>
    <row r="6" spans="1:6" x14ac:dyDescent="0.35">
      <c r="A6" s="19" t="s">
        <v>74</v>
      </c>
      <c r="B6" s="20">
        <v>23345.7</v>
      </c>
      <c r="C6" s="20">
        <v>24100.1</v>
      </c>
      <c r="D6" s="20">
        <v>25120.2</v>
      </c>
      <c r="E6" s="20">
        <v>26435.1</v>
      </c>
      <c r="F6" s="20">
        <v>27818.7</v>
      </c>
    </row>
    <row r="7" spans="1:6" x14ac:dyDescent="0.35">
      <c r="A7" s="17" t="s">
        <v>75</v>
      </c>
      <c r="B7" s="18">
        <v>44.56206505758481</v>
      </c>
      <c r="C7" s="18">
        <v>44.662065057584819</v>
      </c>
      <c r="D7" s="18">
        <v>44.762065057584813</v>
      </c>
      <c r="E7" s="18">
        <v>44.862065057584807</v>
      </c>
      <c r="F7" s="18">
        <v>44.962065057584823</v>
      </c>
    </row>
    <row r="8" spans="1:6" x14ac:dyDescent="0.35">
      <c r="A8" s="19" t="s">
        <v>76</v>
      </c>
      <c r="B8" s="20">
        <v>23508</v>
      </c>
      <c r="C8" s="20">
        <v>24083.8</v>
      </c>
      <c r="D8" s="20">
        <v>24912.400000000001</v>
      </c>
      <c r="E8" s="20">
        <v>26016.6</v>
      </c>
      <c r="F8" s="20">
        <v>27169</v>
      </c>
    </row>
    <row r="9" spans="1:6" x14ac:dyDescent="0.35">
      <c r="A9" s="3" t="s">
        <v>79</v>
      </c>
      <c r="B9" s="21">
        <v>6572.8</v>
      </c>
      <c r="C9" s="21">
        <v>6845.5</v>
      </c>
      <c r="D9" s="21">
        <v>7197.9</v>
      </c>
      <c r="E9" s="21">
        <v>7640.3</v>
      </c>
      <c r="F9" s="21">
        <v>8108.9</v>
      </c>
    </row>
    <row r="10" spans="1:6" x14ac:dyDescent="0.35">
      <c r="A10" s="19" t="s">
        <v>80</v>
      </c>
      <c r="B10" s="22">
        <v>12.546033673325031</v>
      </c>
      <c r="C10" s="22">
        <v>12.68603367332503</v>
      </c>
      <c r="D10" s="22">
        <v>12.82603367332503</v>
      </c>
      <c r="E10" s="22">
        <v>12.966033673325031</v>
      </c>
      <c r="F10" s="22">
        <v>13.10603367332503</v>
      </c>
    </row>
    <row r="11" spans="1:6" x14ac:dyDescent="0.35">
      <c r="A11" s="17" t="s">
        <v>86</v>
      </c>
      <c r="B11" s="23">
        <v>1037.3</v>
      </c>
      <c r="C11" s="23">
        <v>1068.4000000000001</v>
      </c>
      <c r="D11" s="23">
        <v>1111.2</v>
      </c>
      <c r="E11" s="23">
        <v>1166.7</v>
      </c>
      <c r="F11" s="23">
        <v>1225.0999999999999</v>
      </c>
    </row>
    <row r="12" spans="1:6" x14ac:dyDescent="0.35">
      <c r="A12" s="5" t="s">
        <v>77</v>
      </c>
      <c r="B12" s="16">
        <v>5535.5</v>
      </c>
      <c r="C12" s="16">
        <v>5777.1</v>
      </c>
      <c r="D12" s="16">
        <v>6086.7</v>
      </c>
      <c r="E12" s="16">
        <v>6473.6</v>
      </c>
      <c r="F12" s="16">
        <v>6883.9</v>
      </c>
    </row>
    <row r="13" spans="1:6" x14ac:dyDescent="0.35">
      <c r="A13" s="17" t="s">
        <v>102</v>
      </c>
      <c r="B13" s="23">
        <v>756.6</v>
      </c>
      <c r="C13" s="23">
        <v>789.6</v>
      </c>
      <c r="D13" s="23">
        <v>831.9</v>
      </c>
      <c r="E13" s="23">
        <v>884.8</v>
      </c>
      <c r="F13" s="23">
        <v>940.8</v>
      </c>
    </row>
    <row r="14" spans="1:6" x14ac:dyDescent="0.35">
      <c r="A14" s="5" t="s">
        <v>103</v>
      </c>
      <c r="B14" s="16">
        <v>4778.8999999999996</v>
      </c>
      <c r="C14" s="16">
        <v>4987.5</v>
      </c>
      <c r="D14" s="16">
        <v>5254.8</v>
      </c>
      <c r="E14" s="16">
        <v>5588.8</v>
      </c>
      <c r="F14" s="16">
        <v>5943</v>
      </c>
    </row>
    <row r="15" spans="1:6" x14ac:dyDescent="0.35">
      <c r="A15" s="63" t="s">
        <v>104</v>
      </c>
      <c r="B15" s="60"/>
      <c r="C15" s="60"/>
      <c r="D15" s="60"/>
      <c r="E15" s="60"/>
      <c r="F15" s="60"/>
    </row>
    <row r="16" spans="1:6" x14ac:dyDescent="0.35">
      <c r="A16" s="19" t="s">
        <v>103</v>
      </c>
      <c r="B16" s="20">
        <v>4778.8999999999996</v>
      </c>
      <c r="C16" s="20">
        <v>4987.5</v>
      </c>
      <c r="D16" s="20">
        <v>5254.8</v>
      </c>
      <c r="E16" s="20">
        <v>5588.8</v>
      </c>
      <c r="F16" s="20">
        <v>5943</v>
      </c>
    </row>
    <row r="17" spans="1:6" x14ac:dyDescent="0.35">
      <c r="A17" s="17" t="s">
        <v>105</v>
      </c>
      <c r="B17" s="23">
        <v>1037.3</v>
      </c>
      <c r="C17" s="23">
        <v>1068.4000000000001</v>
      </c>
      <c r="D17" s="23">
        <v>1111.2</v>
      </c>
      <c r="E17" s="23">
        <v>1166.7</v>
      </c>
      <c r="F17" s="23">
        <v>1225.0999999999999</v>
      </c>
    </row>
    <row r="18" spans="1:6" x14ac:dyDescent="0.35">
      <c r="A18" s="19" t="s">
        <v>106</v>
      </c>
      <c r="B18" s="20">
        <v>-1001.6</v>
      </c>
      <c r="C18" s="20">
        <v>-1031.7</v>
      </c>
      <c r="D18" s="20">
        <v>-1073</v>
      </c>
      <c r="E18" s="20">
        <v>-1126.5999999999999</v>
      </c>
      <c r="F18" s="20">
        <v>-1182.9000000000001</v>
      </c>
    </row>
    <row r="19" spans="1:6" x14ac:dyDescent="0.35">
      <c r="A19" s="17" t="s">
        <v>107</v>
      </c>
      <c r="B19" s="23">
        <v>-1131.2</v>
      </c>
      <c r="C19" s="23">
        <v>-306.8</v>
      </c>
      <c r="D19" s="23">
        <v>-421.3</v>
      </c>
      <c r="E19" s="23">
        <v>-547.70000000000005</v>
      </c>
      <c r="F19" s="23">
        <v>-575.1</v>
      </c>
    </row>
    <row r="20" spans="1:6" x14ac:dyDescent="0.35">
      <c r="A20" s="5" t="s">
        <v>108</v>
      </c>
      <c r="B20" s="16">
        <v>3683.4</v>
      </c>
      <c r="C20" s="16">
        <v>4717.3999999999996</v>
      </c>
      <c r="D20" s="16">
        <v>4871.7</v>
      </c>
      <c r="E20" s="16">
        <v>5081.2</v>
      </c>
      <c r="F20" s="16">
        <v>5410</v>
      </c>
    </row>
    <row r="21" spans="1:6" x14ac:dyDescent="0.35">
      <c r="A21" s="17" t="s">
        <v>109</v>
      </c>
      <c r="B21" s="24">
        <v>0.92220000000000002</v>
      </c>
      <c r="C21" s="24">
        <v>0.85040000000000004</v>
      </c>
      <c r="D21" s="24">
        <v>0.78420000000000001</v>
      </c>
      <c r="E21" s="24">
        <v>0.72309999999999997</v>
      </c>
      <c r="F21" s="24">
        <v>0.66690000000000005</v>
      </c>
    </row>
    <row r="22" spans="1:6" x14ac:dyDescent="0.35">
      <c r="A22" s="19" t="s">
        <v>110</v>
      </c>
      <c r="B22" s="20">
        <v>3396.7</v>
      </c>
      <c r="C22" s="20">
        <v>4011.6</v>
      </c>
      <c r="D22" s="20">
        <v>3820.3</v>
      </c>
      <c r="E22" s="20">
        <v>3674.5</v>
      </c>
      <c r="F22" s="20">
        <v>3607.7</v>
      </c>
    </row>
    <row r="24" spans="1:6" x14ac:dyDescent="0.35">
      <c r="A24" s="63" t="s">
        <v>111</v>
      </c>
      <c r="B24" s="60"/>
      <c r="C24" s="60"/>
    </row>
    <row r="25" spans="1:6" x14ac:dyDescent="0.35">
      <c r="A25" s="25" t="s">
        <v>112</v>
      </c>
      <c r="B25" s="23">
        <v>18510.849999999999</v>
      </c>
    </row>
    <row r="26" spans="1:6" x14ac:dyDescent="0.35">
      <c r="A26" s="26" t="s">
        <v>113</v>
      </c>
      <c r="B26" s="20">
        <v>68296.570000000007</v>
      </c>
    </row>
    <row r="27" spans="1:6" x14ac:dyDescent="0.35">
      <c r="A27" s="27" t="s">
        <v>114</v>
      </c>
      <c r="B27" s="21">
        <v>86807.41</v>
      </c>
    </row>
    <row r="28" spans="1:6" x14ac:dyDescent="0.35">
      <c r="A28" s="26" t="s">
        <v>115</v>
      </c>
      <c r="B28" s="20">
        <v>67</v>
      </c>
    </row>
    <row r="29" spans="1:6" x14ac:dyDescent="0.35">
      <c r="A29" s="25" t="s">
        <v>116</v>
      </c>
      <c r="B29" s="23">
        <v>0</v>
      </c>
    </row>
    <row r="30" spans="1:6" x14ac:dyDescent="0.35">
      <c r="A30" s="28" t="s">
        <v>117</v>
      </c>
      <c r="B30" s="16">
        <v>86740.41</v>
      </c>
    </row>
    <row r="31" spans="1:6" x14ac:dyDescent="0.35">
      <c r="A31" s="25" t="s">
        <v>118</v>
      </c>
      <c r="B31" s="23">
        <v>1503</v>
      </c>
    </row>
    <row r="32" spans="1:6" x14ac:dyDescent="0.35">
      <c r="A32" s="28" t="s">
        <v>119</v>
      </c>
      <c r="B32" s="29">
        <v>57.71</v>
      </c>
    </row>
    <row r="33" spans="1:2" x14ac:dyDescent="0.35">
      <c r="A33" s="25" t="s">
        <v>120</v>
      </c>
      <c r="B33" s="30">
        <v>75.5</v>
      </c>
    </row>
    <row r="34" spans="1:2" x14ac:dyDescent="0.35">
      <c r="A34" s="28" t="s">
        <v>121</v>
      </c>
      <c r="B34" s="31">
        <v>-23.56</v>
      </c>
    </row>
    <row r="35" spans="1:2" x14ac:dyDescent="0.35">
      <c r="A35" s="25" t="s">
        <v>122</v>
      </c>
      <c r="B35" s="18">
        <v>78.680000000000007</v>
      </c>
    </row>
    <row r="36" spans="1:2" x14ac:dyDescent="0.35">
      <c r="A36" s="26" t="s">
        <v>123</v>
      </c>
      <c r="B36" s="22">
        <v>3</v>
      </c>
    </row>
  </sheetData>
  <mergeCells count="4">
    <mergeCell ref="A3:F3"/>
    <mergeCell ref="A24:C24"/>
    <mergeCell ref="A1:F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showGridLines="0" workbookViewId="0"/>
  </sheetViews>
  <sheetFormatPr defaultRowHeight="14.5" x14ac:dyDescent="0.35"/>
  <cols>
    <col min="1" max="1" width="36" customWidth="1"/>
    <col min="2" max="7" width="13" customWidth="1"/>
  </cols>
  <sheetData>
    <row r="1" spans="1:6" x14ac:dyDescent="0.35">
      <c r="A1" s="63" t="s">
        <v>125</v>
      </c>
      <c r="B1" s="60"/>
      <c r="C1" s="60"/>
      <c r="D1" s="60"/>
      <c r="E1" s="60"/>
      <c r="F1" s="60"/>
    </row>
    <row r="2" spans="1:6" x14ac:dyDescent="0.35">
      <c r="A2" s="2"/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</row>
    <row r="3" spans="1:6" x14ac:dyDescent="0.35">
      <c r="A3" s="63" t="s">
        <v>70</v>
      </c>
      <c r="B3" s="60"/>
      <c r="C3" s="60"/>
      <c r="D3" s="60"/>
      <c r="E3" s="60"/>
      <c r="F3" s="60"/>
    </row>
    <row r="4" spans="1:6" x14ac:dyDescent="0.35">
      <c r="A4" s="5" t="s">
        <v>71</v>
      </c>
      <c r="B4" s="16">
        <v>53930.1</v>
      </c>
      <c r="C4" s="16">
        <v>57705.2</v>
      </c>
      <c r="D4" s="16">
        <v>62321.599999999999</v>
      </c>
      <c r="E4" s="16">
        <v>67307.399999999994</v>
      </c>
      <c r="F4" s="16">
        <v>72691.899999999994</v>
      </c>
    </row>
    <row r="5" spans="1:6" x14ac:dyDescent="0.35">
      <c r="A5" s="17" t="s">
        <v>72</v>
      </c>
      <c r="B5" s="18">
        <v>5</v>
      </c>
      <c r="C5" s="18">
        <v>7.0000000000000009</v>
      </c>
      <c r="D5" s="18">
        <v>8</v>
      </c>
      <c r="E5" s="18">
        <v>8</v>
      </c>
      <c r="F5" s="18">
        <v>8</v>
      </c>
    </row>
    <row r="6" spans="1:6" x14ac:dyDescent="0.35">
      <c r="A6" s="19" t="s">
        <v>74</v>
      </c>
      <c r="B6" s="20">
        <v>24140.2</v>
      </c>
      <c r="C6" s="20">
        <v>26003.200000000001</v>
      </c>
      <c r="D6" s="20">
        <v>28270.400000000001</v>
      </c>
      <c r="E6" s="20">
        <v>30733.9</v>
      </c>
      <c r="F6" s="20">
        <v>33410.699999999997</v>
      </c>
    </row>
    <row r="7" spans="1:6" x14ac:dyDescent="0.35">
      <c r="A7" s="17" t="s">
        <v>75</v>
      </c>
      <c r="B7" s="18">
        <v>44.76206505758482</v>
      </c>
      <c r="C7" s="18">
        <v>45.062065057584817</v>
      </c>
      <c r="D7" s="18">
        <v>45.362065057584807</v>
      </c>
      <c r="E7" s="18">
        <v>45.662065057584819</v>
      </c>
      <c r="F7" s="18">
        <v>45.962065057584809</v>
      </c>
    </row>
    <row r="8" spans="1:6" x14ac:dyDescent="0.35">
      <c r="A8" s="19" t="s">
        <v>76</v>
      </c>
      <c r="B8" s="20">
        <v>23951.4</v>
      </c>
      <c r="C8" s="20">
        <v>25224</v>
      </c>
      <c r="D8" s="20">
        <v>26805.7</v>
      </c>
      <c r="E8" s="20">
        <v>28479</v>
      </c>
      <c r="F8" s="20">
        <v>30248.5</v>
      </c>
    </row>
    <row r="9" spans="1:6" x14ac:dyDescent="0.35">
      <c r="A9" s="3" t="s">
        <v>79</v>
      </c>
      <c r="B9" s="21">
        <v>6906.3</v>
      </c>
      <c r="C9" s="21">
        <v>7620.6</v>
      </c>
      <c r="D9" s="21">
        <v>8479.5</v>
      </c>
      <c r="E9" s="21">
        <v>9427.1</v>
      </c>
      <c r="F9" s="21">
        <v>10472</v>
      </c>
    </row>
    <row r="10" spans="1:6" x14ac:dyDescent="0.35">
      <c r="A10" s="19" t="s">
        <v>80</v>
      </c>
      <c r="B10" s="22">
        <v>12.806033673325031</v>
      </c>
      <c r="C10" s="22">
        <v>13.206033673325029</v>
      </c>
      <c r="D10" s="22">
        <v>13.60603367332503</v>
      </c>
      <c r="E10" s="22">
        <v>14.00603367332503</v>
      </c>
      <c r="F10" s="22">
        <v>14.40603367332503</v>
      </c>
    </row>
    <row r="11" spans="1:6" x14ac:dyDescent="0.35">
      <c r="A11" s="17" t="s">
        <v>86</v>
      </c>
      <c r="B11" s="23">
        <v>1067.8</v>
      </c>
      <c r="C11" s="23">
        <v>1142.5999999999999</v>
      </c>
      <c r="D11" s="23">
        <v>1234</v>
      </c>
      <c r="E11" s="23">
        <v>1332.7</v>
      </c>
      <c r="F11" s="23">
        <v>1439.3</v>
      </c>
    </row>
    <row r="12" spans="1:6" x14ac:dyDescent="0.35">
      <c r="A12" s="5" t="s">
        <v>77</v>
      </c>
      <c r="B12" s="16">
        <v>5838.5</v>
      </c>
      <c r="C12" s="16">
        <v>6478</v>
      </c>
      <c r="D12" s="16">
        <v>7245.5</v>
      </c>
      <c r="E12" s="16">
        <v>8094.4</v>
      </c>
      <c r="F12" s="16">
        <v>9032.7000000000007</v>
      </c>
    </row>
    <row r="13" spans="1:6" x14ac:dyDescent="0.35">
      <c r="A13" s="17" t="s">
        <v>102</v>
      </c>
      <c r="B13" s="23">
        <v>798</v>
      </c>
      <c r="C13" s="23">
        <v>885.4</v>
      </c>
      <c r="D13" s="23">
        <v>990.3</v>
      </c>
      <c r="E13" s="23">
        <v>1106.3</v>
      </c>
      <c r="F13" s="23">
        <v>1234.5</v>
      </c>
    </row>
    <row r="14" spans="1:6" x14ac:dyDescent="0.35">
      <c r="A14" s="5" t="s">
        <v>103</v>
      </c>
      <c r="B14" s="16">
        <v>5040.5</v>
      </c>
      <c r="C14" s="16">
        <v>5592.6</v>
      </c>
      <c r="D14" s="16">
        <v>6255.3</v>
      </c>
      <c r="E14" s="16">
        <v>6988.1</v>
      </c>
      <c r="F14" s="16">
        <v>7798.2</v>
      </c>
    </row>
    <row r="15" spans="1:6" x14ac:dyDescent="0.35">
      <c r="A15" s="63" t="s">
        <v>104</v>
      </c>
      <c r="B15" s="60"/>
      <c r="C15" s="60"/>
      <c r="D15" s="60"/>
      <c r="E15" s="60"/>
      <c r="F15" s="60"/>
    </row>
    <row r="16" spans="1:6" x14ac:dyDescent="0.35">
      <c r="A16" s="19" t="s">
        <v>103</v>
      </c>
      <c r="B16" s="20">
        <v>5040.5</v>
      </c>
      <c r="C16" s="20">
        <v>5592.6</v>
      </c>
      <c r="D16" s="20">
        <v>6255.3</v>
      </c>
      <c r="E16" s="20">
        <v>6988.1</v>
      </c>
      <c r="F16" s="20">
        <v>7798.2</v>
      </c>
    </row>
    <row r="17" spans="1:6" x14ac:dyDescent="0.35">
      <c r="A17" s="17" t="s">
        <v>105</v>
      </c>
      <c r="B17" s="23">
        <v>1067.8</v>
      </c>
      <c r="C17" s="23">
        <v>1142.5999999999999</v>
      </c>
      <c r="D17" s="23">
        <v>1234</v>
      </c>
      <c r="E17" s="23">
        <v>1332.7</v>
      </c>
      <c r="F17" s="23">
        <v>1439.3</v>
      </c>
    </row>
    <row r="18" spans="1:6" x14ac:dyDescent="0.35">
      <c r="A18" s="19" t="s">
        <v>106</v>
      </c>
      <c r="B18" s="20">
        <v>-1031.0999999999999</v>
      </c>
      <c r="C18" s="20">
        <v>-1103.3</v>
      </c>
      <c r="D18" s="20">
        <v>-1191.5</v>
      </c>
      <c r="E18" s="20">
        <v>-1286.9000000000001</v>
      </c>
      <c r="F18" s="20">
        <v>-1389.8</v>
      </c>
    </row>
    <row r="19" spans="1:6" x14ac:dyDescent="0.35">
      <c r="A19" s="17" t="s">
        <v>107</v>
      </c>
      <c r="B19" s="23">
        <v>-1431.9</v>
      </c>
      <c r="C19" s="23">
        <v>-736.9</v>
      </c>
      <c r="D19" s="23">
        <v>-901.1</v>
      </c>
      <c r="E19" s="23">
        <v>-973.2</v>
      </c>
      <c r="F19" s="23">
        <v>-1051.0999999999999</v>
      </c>
    </row>
    <row r="20" spans="1:6" x14ac:dyDescent="0.35">
      <c r="A20" s="5" t="s">
        <v>108</v>
      </c>
      <c r="B20" s="16">
        <v>3645.3</v>
      </c>
      <c r="C20" s="16">
        <v>4895</v>
      </c>
      <c r="D20" s="16">
        <v>5396.6</v>
      </c>
      <c r="E20" s="16">
        <v>6060.7</v>
      </c>
      <c r="F20" s="16">
        <v>6796.6</v>
      </c>
    </row>
    <row r="21" spans="1:6" x14ac:dyDescent="0.35">
      <c r="A21" s="17" t="s">
        <v>109</v>
      </c>
      <c r="B21" s="24">
        <v>0.92220000000000002</v>
      </c>
      <c r="C21" s="24">
        <v>0.85040000000000004</v>
      </c>
      <c r="D21" s="24">
        <v>0.78420000000000001</v>
      </c>
      <c r="E21" s="24">
        <v>0.72309999999999997</v>
      </c>
      <c r="F21" s="24">
        <v>0.66690000000000005</v>
      </c>
    </row>
    <row r="22" spans="1:6" x14ac:dyDescent="0.35">
      <c r="A22" s="19" t="s">
        <v>110</v>
      </c>
      <c r="B22" s="20">
        <v>3361.5</v>
      </c>
      <c r="C22" s="20">
        <v>4162.6000000000004</v>
      </c>
      <c r="D22" s="20">
        <v>4231.8999999999996</v>
      </c>
      <c r="E22" s="20">
        <v>4382.8</v>
      </c>
      <c r="F22" s="20">
        <v>4532.3999999999996</v>
      </c>
    </row>
    <row r="24" spans="1:6" x14ac:dyDescent="0.35">
      <c r="A24" s="63" t="s">
        <v>111</v>
      </c>
      <c r="B24" s="60"/>
      <c r="C24" s="60"/>
    </row>
    <row r="25" spans="1:6" x14ac:dyDescent="0.35">
      <c r="A25" s="25" t="s">
        <v>112</v>
      </c>
      <c r="B25" s="23">
        <v>20671.330000000002</v>
      </c>
    </row>
    <row r="26" spans="1:6" x14ac:dyDescent="0.35">
      <c r="A26" s="26" t="s">
        <v>113</v>
      </c>
      <c r="B26" s="20">
        <v>94942.36</v>
      </c>
    </row>
    <row r="27" spans="1:6" x14ac:dyDescent="0.35">
      <c r="A27" s="27" t="s">
        <v>114</v>
      </c>
      <c r="B27" s="21">
        <v>115613.68</v>
      </c>
    </row>
    <row r="28" spans="1:6" x14ac:dyDescent="0.35">
      <c r="A28" s="26" t="s">
        <v>115</v>
      </c>
      <c r="B28" s="20">
        <v>67</v>
      </c>
    </row>
    <row r="29" spans="1:6" x14ac:dyDescent="0.35">
      <c r="A29" s="25" t="s">
        <v>116</v>
      </c>
      <c r="B29" s="23">
        <v>0</v>
      </c>
    </row>
    <row r="30" spans="1:6" x14ac:dyDescent="0.35">
      <c r="A30" s="28" t="s">
        <v>117</v>
      </c>
      <c r="B30" s="16">
        <v>115546.68</v>
      </c>
    </row>
    <row r="31" spans="1:6" x14ac:dyDescent="0.35">
      <c r="A31" s="25" t="s">
        <v>118</v>
      </c>
      <c r="B31" s="23">
        <v>1503</v>
      </c>
    </row>
    <row r="32" spans="1:6" x14ac:dyDescent="0.35">
      <c r="A32" s="28" t="s">
        <v>119</v>
      </c>
      <c r="B32" s="29">
        <v>76.88</v>
      </c>
    </row>
    <row r="33" spans="1:2" x14ac:dyDescent="0.35">
      <c r="A33" s="25" t="s">
        <v>120</v>
      </c>
      <c r="B33" s="30">
        <v>75.5</v>
      </c>
    </row>
    <row r="34" spans="1:2" x14ac:dyDescent="0.35">
      <c r="A34" s="28" t="s">
        <v>121</v>
      </c>
      <c r="B34" s="31">
        <v>1.82</v>
      </c>
    </row>
    <row r="35" spans="1:2" x14ac:dyDescent="0.35">
      <c r="A35" s="25" t="s">
        <v>122</v>
      </c>
      <c r="B35" s="18">
        <v>82.12</v>
      </c>
    </row>
    <row r="36" spans="1:2" x14ac:dyDescent="0.35">
      <c r="A36" s="26" t="s">
        <v>123</v>
      </c>
      <c r="B36" s="22">
        <v>3.5</v>
      </c>
    </row>
  </sheetData>
  <mergeCells count="4">
    <mergeCell ref="A3:F3"/>
    <mergeCell ref="A24:C24"/>
    <mergeCell ref="A1:F1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workbookViewId="0"/>
  </sheetViews>
  <sheetFormatPr defaultRowHeight="14.5" x14ac:dyDescent="0.35"/>
  <cols>
    <col min="1" max="1" width="16" customWidth="1"/>
    <col min="2" max="9" width="11" customWidth="1"/>
  </cols>
  <sheetData>
    <row r="1" spans="1:10" x14ac:dyDescent="0.35">
      <c r="A1" s="63" t="s">
        <v>126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35">
      <c r="A2" s="64" t="s">
        <v>127</v>
      </c>
      <c r="B2" s="60"/>
      <c r="C2" s="60"/>
      <c r="D2" s="60"/>
      <c r="E2" s="60"/>
      <c r="F2" s="60"/>
      <c r="G2" s="60"/>
      <c r="H2" s="60"/>
      <c r="I2" s="60"/>
    </row>
    <row r="3" spans="1:10" x14ac:dyDescent="0.35">
      <c r="A3" s="2" t="s">
        <v>128</v>
      </c>
      <c r="B3" s="2" t="s">
        <v>129</v>
      </c>
      <c r="C3" s="2" t="s">
        <v>130</v>
      </c>
      <c r="D3" s="2" t="s">
        <v>21</v>
      </c>
      <c r="E3" s="2" t="s">
        <v>131</v>
      </c>
      <c r="F3" s="2" t="s">
        <v>25</v>
      </c>
      <c r="G3" s="2" t="s">
        <v>31</v>
      </c>
      <c r="H3" s="2" t="s">
        <v>132</v>
      </c>
      <c r="I3" s="2" t="s">
        <v>133</v>
      </c>
    </row>
    <row r="4" spans="1:10" x14ac:dyDescent="0.35">
      <c r="A4" s="2" t="s">
        <v>134</v>
      </c>
      <c r="B4" s="32">
        <v>55.98</v>
      </c>
      <c r="C4" s="32">
        <v>60.14</v>
      </c>
      <c r="D4" s="32">
        <v>65.13</v>
      </c>
      <c r="E4" s="32">
        <v>71.239999999999995</v>
      </c>
      <c r="F4" s="32">
        <v>78.86</v>
      </c>
      <c r="G4" s="32">
        <v>88.67</v>
      </c>
      <c r="H4" s="32">
        <v>101.75</v>
      </c>
      <c r="I4" s="32">
        <v>120.05</v>
      </c>
    </row>
    <row r="5" spans="1:10" x14ac:dyDescent="0.35">
      <c r="A5" s="2" t="s">
        <v>135</v>
      </c>
      <c r="B5" s="32">
        <v>47.77</v>
      </c>
      <c r="C5" s="32">
        <v>50.68</v>
      </c>
      <c r="D5" s="32">
        <v>54.07</v>
      </c>
      <c r="E5" s="32">
        <v>58.08</v>
      </c>
      <c r="F5" s="33">
        <v>62.89</v>
      </c>
      <c r="G5" s="32">
        <v>68.77</v>
      </c>
      <c r="H5" s="32">
        <v>76.12</v>
      </c>
      <c r="I5" s="32">
        <v>85.57</v>
      </c>
    </row>
    <row r="6" spans="1:10" x14ac:dyDescent="0.35">
      <c r="A6" s="2" t="s">
        <v>136</v>
      </c>
      <c r="B6" s="32">
        <v>41.62</v>
      </c>
      <c r="C6" s="32">
        <v>43.74</v>
      </c>
      <c r="D6" s="32">
        <v>46.17</v>
      </c>
      <c r="E6" s="32">
        <v>48.97</v>
      </c>
      <c r="F6" s="32">
        <v>52.24</v>
      </c>
      <c r="G6" s="32">
        <v>56.11</v>
      </c>
      <c r="H6" s="32">
        <v>60.74</v>
      </c>
      <c r="I6" s="32">
        <v>66.41</v>
      </c>
    </row>
    <row r="7" spans="1:10" x14ac:dyDescent="0.35">
      <c r="A7" s="2" t="s">
        <v>137</v>
      </c>
      <c r="B7" s="32">
        <v>36.840000000000003</v>
      </c>
      <c r="C7" s="32">
        <v>38.450000000000003</v>
      </c>
      <c r="D7" s="32">
        <v>40.25</v>
      </c>
      <c r="E7" s="32">
        <v>42.3</v>
      </c>
      <c r="F7" s="32">
        <v>44.64</v>
      </c>
      <c r="G7" s="32">
        <v>47.34</v>
      </c>
      <c r="H7" s="32">
        <v>50.5</v>
      </c>
      <c r="I7" s="32">
        <v>54.22</v>
      </c>
    </row>
    <row r="8" spans="1:10" x14ac:dyDescent="0.35">
      <c r="A8" s="2" t="s">
        <v>138</v>
      </c>
      <c r="B8" s="32">
        <v>33.020000000000003</v>
      </c>
      <c r="C8" s="32">
        <v>34.270000000000003</v>
      </c>
      <c r="D8" s="32">
        <v>35.65</v>
      </c>
      <c r="E8" s="32">
        <v>37.200000000000003</v>
      </c>
      <c r="F8" s="32">
        <v>38.950000000000003</v>
      </c>
      <c r="G8" s="32">
        <v>40.92</v>
      </c>
      <c r="H8" s="32">
        <v>43.18</v>
      </c>
      <c r="I8" s="32">
        <v>45.79</v>
      </c>
    </row>
    <row r="9" spans="1:10" x14ac:dyDescent="0.35">
      <c r="A9" s="2" t="s">
        <v>139</v>
      </c>
      <c r="B9" s="32">
        <v>29.9</v>
      </c>
      <c r="C9" s="32">
        <v>30.89</v>
      </c>
      <c r="D9" s="32">
        <v>31.98</v>
      </c>
      <c r="E9" s="32">
        <v>33.18</v>
      </c>
      <c r="F9" s="32">
        <v>34.520000000000003</v>
      </c>
      <c r="G9" s="32">
        <v>36.01</v>
      </c>
      <c r="H9" s="32">
        <v>37.700000000000003</v>
      </c>
      <c r="I9" s="32">
        <v>39.6</v>
      </c>
    </row>
  </sheetData>
  <mergeCells count="2">
    <mergeCell ref="A1:J1"/>
    <mergeCell ref="A2:I2"/>
  </mergeCells>
  <conditionalFormatting sqref="B4:I9">
    <cfRule type="colorScale" priority="1">
      <colorScale>
        <cfvo type="min"/>
        <cfvo type="percentile" val="50"/>
        <cfvo type="max"/>
        <color rgb="FFFF4444"/>
        <color rgb="FFFFFFFF"/>
        <color rgb="FF00B05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showGridLines="0" workbookViewId="0"/>
  </sheetViews>
  <sheetFormatPr defaultRowHeight="14.5" x14ac:dyDescent="0.35"/>
  <cols>
    <col min="1" max="1" width="22" customWidth="1"/>
    <col min="2" max="2" width="10" customWidth="1"/>
    <col min="3" max="7" width="16" customWidth="1"/>
  </cols>
  <sheetData>
    <row r="1" spans="1:7" x14ac:dyDescent="0.35">
      <c r="A1" s="63" t="s">
        <v>140</v>
      </c>
      <c r="B1" s="60"/>
      <c r="C1" s="60"/>
      <c r="D1" s="60"/>
      <c r="E1" s="60"/>
      <c r="F1" s="60"/>
      <c r="G1" s="60"/>
    </row>
    <row r="2" spans="1:7" x14ac:dyDescent="0.35">
      <c r="A2" s="63" t="s">
        <v>141</v>
      </c>
      <c r="B2" s="60"/>
      <c r="C2" s="60"/>
      <c r="D2" s="60"/>
      <c r="E2" s="60"/>
      <c r="F2" s="60"/>
      <c r="G2" s="60"/>
    </row>
    <row r="3" spans="1:7" x14ac:dyDescent="0.35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</row>
    <row r="4" spans="1:7" x14ac:dyDescent="0.35">
      <c r="A4" s="17" t="s">
        <v>148</v>
      </c>
      <c r="B4" s="17" t="s">
        <v>149</v>
      </c>
      <c r="C4" s="34">
        <v>12.1</v>
      </c>
      <c r="D4" s="34">
        <v>18.399999999999999</v>
      </c>
      <c r="E4" s="18">
        <v>6.2E-2</v>
      </c>
      <c r="F4" s="18">
        <v>9.8000000000000004E-2</v>
      </c>
    </row>
    <row r="5" spans="1:7" x14ac:dyDescent="0.35">
      <c r="A5" s="19" t="s">
        <v>150</v>
      </c>
      <c r="B5" s="19" t="s">
        <v>151</v>
      </c>
      <c r="C5" s="35">
        <v>8.3000000000000007</v>
      </c>
      <c r="D5" s="35">
        <v>16.2</v>
      </c>
      <c r="E5" s="22">
        <v>2.1000000000000001E-2</v>
      </c>
      <c r="F5" s="22">
        <v>7.0999999999999994E-2</v>
      </c>
    </row>
    <row r="6" spans="1:7" x14ac:dyDescent="0.35">
      <c r="A6" s="17" t="s">
        <v>152</v>
      </c>
      <c r="B6" s="17" t="s">
        <v>153</v>
      </c>
      <c r="C6" s="34">
        <v>14.2</v>
      </c>
      <c r="D6" s="34">
        <v>17.8</v>
      </c>
      <c r="E6" s="18">
        <v>0.112</v>
      </c>
      <c r="F6" s="18">
        <v>0.221</v>
      </c>
    </row>
    <row r="7" spans="1:7" x14ac:dyDescent="0.35">
      <c r="A7" s="19" t="s">
        <v>154</v>
      </c>
      <c r="B7" s="19" t="s">
        <v>155</v>
      </c>
      <c r="C7" s="35">
        <v>24.5</v>
      </c>
      <c r="D7" s="35">
        <v>45.3</v>
      </c>
      <c r="E7" s="22">
        <v>0.312</v>
      </c>
      <c r="F7" s="22">
        <v>0.182</v>
      </c>
    </row>
    <row r="8" spans="1:7" x14ac:dyDescent="0.35">
      <c r="A8" s="17" t="s">
        <v>156</v>
      </c>
      <c r="B8" s="17" t="s">
        <v>157</v>
      </c>
      <c r="C8" s="34">
        <v>9.8000000000000007</v>
      </c>
      <c r="D8" s="34">
        <v>14.6</v>
      </c>
      <c r="E8" s="18">
        <v>8.7999999999999995E-2</v>
      </c>
      <c r="F8" s="18">
        <v>0.121</v>
      </c>
    </row>
    <row r="9" spans="1:7" x14ac:dyDescent="0.35">
      <c r="A9" s="36" t="s">
        <v>158</v>
      </c>
      <c r="C9" s="37">
        <v>13.78</v>
      </c>
      <c r="D9" s="37">
        <v>22.46</v>
      </c>
      <c r="E9" s="38">
        <v>0.11899999999999999</v>
      </c>
      <c r="F9" s="38">
        <v>0.13900000000000001</v>
      </c>
    </row>
    <row r="10" spans="1:7" x14ac:dyDescent="0.35">
      <c r="A10" s="36" t="s">
        <v>159</v>
      </c>
      <c r="C10" s="37">
        <v>12.1</v>
      </c>
      <c r="D10" s="37">
        <v>17.8</v>
      </c>
      <c r="E10" s="38">
        <v>8.7999999999999995E-2</v>
      </c>
      <c r="F10" s="38">
        <v>0.121</v>
      </c>
    </row>
    <row r="11" spans="1:7" x14ac:dyDescent="0.35">
      <c r="A11" s="36" t="s">
        <v>160</v>
      </c>
      <c r="C11" s="37">
        <v>9.8000000000000007</v>
      </c>
      <c r="D11" s="37">
        <v>16.2</v>
      </c>
      <c r="E11" s="38">
        <v>6.2E-2</v>
      </c>
      <c r="F11" s="38">
        <v>9.8000000000000004E-2</v>
      </c>
    </row>
    <row r="12" spans="1:7" x14ac:dyDescent="0.35">
      <c r="A12" s="36" t="s">
        <v>161</v>
      </c>
      <c r="C12" s="37">
        <v>14.2</v>
      </c>
      <c r="D12" s="37">
        <v>18.399999999999999</v>
      </c>
      <c r="E12" s="38">
        <v>0.112</v>
      </c>
      <c r="F12" s="38">
        <v>0.182</v>
      </c>
    </row>
    <row r="15" spans="1:7" x14ac:dyDescent="0.35">
      <c r="A15" s="63" t="s">
        <v>162</v>
      </c>
      <c r="B15" s="60"/>
      <c r="C15" s="60"/>
      <c r="D15" s="60"/>
      <c r="E15" s="60"/>
    </row>
    <row r="16" spans="1:7" x14ac:dyDescent="0.35">
      <c r="A16" s="25" t="s">
        <v>163</v>
      </c>
      <c r="B16" s="23">
        <v>6572.77</v>
      </c>
    </row>
    <row r="17" spans="1:2" x14ac:dyDescent="0.35">
      <c r="A17" s="26" t="s">
        <v>164</v>
      </c>
      <c r="B17" s="35">
        <v>12.1</v>
      </c>
    </row>
    <row r="18" spans="1:2" x14ac:dyDescent="0.35">
      <c r="A18" s="25" t="s">
        <v>165</v>
      </c>
      <c r="B18" s="23">
        <v>79530.539999999994</v>
      </c>
    </row>
    <row r="19" spans="1:2" x14ac:dyDescent="0.35">
      <c r="A19" s="26" t="s">
        <v>166</v>
      </c>
      <c r="B19" s="20">
        <v>67</v>
      </c>
    </row>
    <row r="20" spans="1:2" x14ac:dyDescent="0.35">
      <c r="A20" s="25" t="s">
        <v>167</v>
      </c>
      <c r="B20" s="23">
        <v>79463.539999999994</v>
      </c>
    </row>
    <row r="21" spans="1:2" x14ac:dyDescent="0.35">
      <c r="A21" s="28" t="s">
        <v>119</v>
      </c>
      <c r="B21" s="29">
        <v>52.87</v>
      </c>
    </row>
  </sheetData>
  <mergeCells count="3">
    <mergeCell ref="A15:E15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showGridLines="0" workbookViewId="0"/>
  </sheetViews>
  <sheetFormatPr defaultRowHeight="14.5" x14ac:dyDescent="0.35"/>
  <cols>
    <col min="1" max="1" width="26" customWidth="1"/>
    <col min="2" max="6" width="14" customWidth="1"/>
  </cols>
  <sheetData>
    <row r="1" spans="1:6" x14ac:dyDescent="0.35">
      <c r="A1" s="63" t="s">
        <v>168</v>
      </c>
      <c r="B1" s="60"/>
      <c r="C1" s="60"/>
      <c r="D1" s="60"/>
      <c r="E1" s="60"/>
      <c r="F1" s="60"/>
    </row>
    <row r="2" spans="1:6" x14ac:dyDescent="0.35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</row>
    <row r="3" spans="1:6" x14ac:dyDescent="0.35">
      <c r="A3" s="3" t="s">
        <v>174</v>
      </c>
      <c r="B3" s="30">
        <v>40.887872409189747</v>
      </c>
      <c r="C3" s="30">
        <v>76.877366718752498</v>
      </c>
      <c r="D3" s="30">
        <v>58.882619563971119</v>
      </c>
      <c r="E3" s="39">
        <v>-22.009775411958788</v>
      </c>
    </row>
    <row r="4" spans="1:6" x14ac:dyDescent="0.35">
      <c r="A4" s="5" t="s">
        <v>175</v>
      </c>
      <c r="B4" s="40">
        <v>53.657110028500668</v>
      </c>
      <c r="C4" s="40">
        <v>66.776414802151479</v>
      </c>
      <c r="D4" s="40">
        <v>60.216762415326073</v>
      </c>
      <c r="E4" s="41">
        <v>-20.24269878764758</v>
      </c>
    </row>
    <row r="5" spans="1:6" x14ac:dyDescent="0.35">
      <c r="A5" s="3" t="s">
        <v>176</v>
      </c>
      <c r="B5" s="30">
        <v>70</v>
      </c>
      <c r="C5" s="30">
        <v>115</v>
      </c>
      <c r="D5" s="30">
        <v>92.5</v>
      </c>
      <c r="E5" s="42">
        <v>22.516556291390732</v>
      </c>
    </row>
    <row r="6" spans="1:6" x14ac:dyDescent="0.35">
      <c r="A6" s="5" t="s">
        <v>177</v>
      </c>
      <c r="B6" s="40">
        <v>47.582956567873467</v>
      </c>
      <c r="C6" s="40">
        <v>58.15694691628979</v>
      </c>
      <c r="D6" s="40">
        <v>52.869951742081618</v>
      </c>
      <c r="E6" s="41">
        <v>-29.973573851547521</v>
      </c>
    </row>
    <row r="7" spans="1:6" x14ac:dyDescent="0.35">
      <c r="A7" s="3" t="s">
        <v>120</v>
      </c>
      <c r="B7" s="30">
        <v>75.5</v>
      </c>
      <c r="C7" s="30">
        <v>75.5</v>
      </c>
      <c r="D7" s="30">
        <v>75.5</v>
      </c>
      <c r="E7" s="39">
        <v>0</v>
      </c>
    </row>
  </sheetData>
  <mergeCells count="1">
    <mergeCell ref="A1:F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3"/>
  <sheetViews>
    <sheetView showGridLines="0" workbookViewId="0"/>
  </sheetViews>
  <sheetFormatPr defaultRowHeight="14.5" x14ac:dyDescent="0.35"/>
  <cols>
    <col min="1" max="1" width="32" customWidth="1"/>
    <col min="2" max="2" width="14" customWidth="1"/>
    <col min="3" max="3" width="10" customWidth="1"/>
    <col min="4" max="4" width="52" customWidth="1"/>
  </cols>
  <sheetData>
    <row r="1" spans="1:4" x14ac:dyDescent="0.35">
      <c r="A1" s="63" t="s">
        <v>178</v>
      </c>
      <c r="B1" s="60"/>
      <c r="C1" s="60"/>
      <c r="D1" s="60"/>
    </row>
    <row r="2" spans="1:4" x14ac:dyDescent="0.35">
      <c r="A2" s="2" t="s">
        <v>179</v>
      </c>
      <c r="B2" s="2" t="s">
        <v>180</v>
      </c>
      <c r="C2" s="2" t="s">
        <v>181</v>
      </c>
      <c r="D2" s="2" t="s">
        <v>182</v>
      </c>
    </row>
    <row r="3" spans="1:4" x14ac:dyDescent="0.35">
      <c r="A3" s="63" t="s">
        <v>183</v>
      </c>
      <c r="B3" s="60"/>
      <c r="C3" s="60"/>
      <c r="D3" s="60"/>
    </row>
    <row r="4" spans="1:4" ht="15" customHeight="1" x14ac:dyDescent="0.35">
      <c r="A4" s="25" t="s">
        <v>184</v>
      </c>
      <c r="B4" s="43">
        <v>75.5</v>
      </c>
      <c r="C4" s="44" t="s">
        <v>185</v>
      </c>
      <c r="D4" s="45" t="s">
        <v>186</v>
      </c>
    </row>
    <row r="5" spans="1:4" ht="15" customHeight="1" x14ac:dyDescent="0.35">
      <c r="A5" s="26" t="s">
        <v>187</v>
      </c>
      <c r="B5" s="46">
        <v>1503</v>
      </c>
      <c r="C5" s="47" t="s">
        <v>188</v>
      </c>
      <c r="D5" s="48" t="s">
        <v>189</v>
      </c>
    </row>
    <row r="6" spans="1:4" ht="15" customHeight="1" x14ac:dyDescent="0.35">
      <c r="A6" s="25" t="s">
        <v>190</v>
      </c>
      <c r="B6" s="43">
        <v>113476.5</v>
      </c>
      <c r="C6" s="44" t="s">
        <v>191</v>
      </c>
      <c r="D6" s="45" t="s">
        <v>192</v>
      </c>
    </row>
    <row r="7" spans="1:4" ht="15" customHeight="1" x14ac:dyDescent="0.35">
      <c r="A7" s="26" t="s">
        <v>193</v>
      </c>
      <c r="B7" s="49">
        <v>70</v>
      </c>
      <c r="C7" s="47" t="s">
        <v>185</v>
      </c>
      <c r="D7" s="48" t="s">
        <v>194</v>
      </c>
    </row>
    <row r="8" spans="1:4" ht="15" customHeight="1" x14ac:dyDescent="0.35">
      <c r="A8" s="25" t="s">
        <v>195</v>
      </c>
      <c r="B8" s="43">
        <v>115</v>
      </c>
      <c r="C8" s="44" t="s">
        <v>185</v>
      </c>
      <c r="D8" s="45" t="s">
        <v>194</v>
      </c>
    </row>
    <row r="9" spans="1:4" x14ac:dyDescent="0.35">
      <c r="A9" s="63" t="s">
        <v>196</v>
      </c>
      <c r="B9" s="60"/>
      <c r="C9" s="60"/>
      <c r="D9" s="60"/>
    </row>
    <row r="10" spans="1:4" ht="15" customHeight="1" x14ac:dyDescent="0.35">
      <c r="A10" s="25" t="s">
        <v>197</v>
      </c>
      <c r="B10" s="50">
        <v>4.3499999999999997E-2</v>
      </c>
      <c r="C10" s="44" t="s">
        <v>198</v>
      </c>
      <c r="D10" s="45" t="s">
        <v>43</v>
      </c>
    </row>
    <row r="11" spans="1:4" ht="15" customHeight="1" x14ac:dyDescent="0.35">
      <c r="A11" s="26" t="s">
        <v>199</v>
      </c>
      <c r="B11" s="51">
        <v>0.83</v>
      </c>
      <c r="C11" s="47" t="s">
        <v>200</v>
      </c>
      <c r="D11" s="48" t="s">
        <v>45</v>
      </c>
    </row>
    <row r="12" spans="1:4" ht="15" customHeight="1" x14ac:dyDescent="0.35">
      <c r="A12" s="25" t="s">
        <v>201</v>
      </c>
      <c r="B12" s="50">
        <v>5.5E-2</v>
      </c>
      <c r="C12" s="44" t="s">
        <v>198</v>
      </c>
      <c r="D12" s="45" t="s">
        <v>47</v>
      </c>
    </row>
    <row r="13" spans="1:4" ht="15" customHeight="1" x14ac:dyDescent="0.35">
      <c r="A13" s="26" t="s">
        <v>202</v>
      </c>
      <c r="B13" s="52">
        <v>8.9149999999999993E-2</v>
      </c>
      <c r="C13" s="47" t="s">
        <v>198</v>
      </c>
      <c r="D13" s="48" t="s">
        <v>203</v>
      </c>
    </row>
    <row r="14" spans="1:4" ht="15" customHeight="1" x14ac:dyDescent="0.35">
      <c r="A14" s="25" t="s">
        <v>50</v>
      </c>
      <c r="B14" s="50">
        <v>3.5000000000000003E-2</v>
      </c>
      <c r="C14" s="44" t="s">
        <v>198</v>
      </c>
      <c r="D14" s="45" t="s">
        <v>51</v>
      </c>
    </row>
    <row r="15" spans="1:4" ht="15" customHeight="1" x14ac:dyDescent="0.35">
      <c r="A15" s="26" t="s">
        <v>52</v>
      </c>
      <c r="B15" s="52">
        <v>0.1366733945827775</v>
      </c>
      <c r="C15" s="47" t="s">
        <v>198</v>
      </c>
      <c r="D15" s="48" t="s">
        <v>204</v>
      </c>
    </row>
    <row r="16" spans="1:4" ht="15" customHeight="1" x14ac:dyDescent="0.35">
      <c r="A16" s="25" t="s">
        <v>205</v>
      </c>
      <c r="B16" s="50">
        <v>3.021643118960279E-2</v>
      </c>
      <c r="C16" s="44" t="s">
        <v>198</v>
      </c>
      <c r="D16" s="45" t="s">
        <v>206</v>
      </c>
    </row>
    <row r="17" spans="1:4" ht="15" customHeight="1" x14ac:dyDescent="0.35">
      <c r="A17" s="26" t="s">
        <v>60</v>
      </c>
      <c r="B17" s="52">
        <v>0.91955657659628776</v>
      </c>
      <c r="C17" s="47" t="s">
        <v>198</v>
      </c>
      <c r="D17" s="48" t="s">
        <v>207</v>
      </c>
    </row>
    <row r="18" spans="1:4" ht="15" customHeight="1" x14ac:dyDescent="0.35">
      <c r="A18" s="25" t="s">
        <v>208</v>
      </c>
      <c r="B18" s="50">
        <v>8.4409181971493399E-2</v>
      </c>
      <c r="C18" s="44" t="s">
        <v>198</v>
      </c>
      <c r="D18" s="45" t="s">
        <v>209</v>
      </c>
    </row>
    <row r="19" spans="1:4" x14ac:dyDescent="0.35">
      <c r="A19" s="63" t="s">
        <v>210</v>
      </c>
      <c r="B19" s="60"/>
      <c r="C19" s="60"/>
      <c r="D19" s="60"/>
    </row>
    <row r="20" spans="1:4" ht="15" customHeight="1" x14ac:dyDescent="0.35">
      <c r="A20" s="25" t="s">
        <v>211</v>
      </c>
      <c r="B20" s="43">
        <v>9860</v>
      </c>
      <c r="C20" s="44" t="s">
        <v>191</v>
      </c>
      <c r="D20" s="45" t="s">
        <v>212</v>
      </c>
    </row>
    <row r="21" spans="1:4" ht="15" customHeight="1" x14ac:dyDescent="0.35">
      <c r="A21" s="26" t="s">
        <v>213</v>
      </c>
      <c r="B21" s="49">
        <v>1000</v>
      </c>
      <c r="C21" s="47" t="s">
        <v>191</v>
      </c>
      <c r="D21" s="48" t="s">
        <v>212</v>
      </c>
    </row>
    <row r="22" spans="1:4" ht="15" customHeight="1" x14ac:dyDescent="0.35">
      <c r="A22" s="25" t="s">
        <v>214</v>
      </c>
      <c r="B22" s="43">
        <v>8927</v>
      </c>
      <c r="C22" s="44" t="s">
        <v>191</v>
      </c>
      <c r="D22" s="45" t="s">
        <v>215</v>
      </c>
    </row>
    <row r="23" spans="1:4" ht="15" customHeight="1" x14ac:dyDescent="0.35">
      <c r="A23" s="26" t="s">
        <v>216</v>
      </c>
      <c r="B23" s="49">
        <v>9927</v>
      </c>
      <c r="C23" s="47" t="s">
        <v>191</v>
      </c>
      <c r="D23" s="48" t="s">
        <v>217</v>
      </c>
    </row>
    <row r="24" spans="1:4" ht="15" customHeight="1" x14ac:dyDescent="0.35">
      <c r="A24" s="25" t="s">
        <v>218</v>
      </c>
      <c r="B24" s="43">
        <v>67</v>
      </c>
      <c r="C24" s="44" t="s">
        <v>191</v>
      </c>
      <c r="D24" s="45" t="s">
        <v>219</v>
      </c>
    </row>
    <row r="25" spans="1:4" ht="15" customHeight="1" x14ac:dyDescent="0.35">
      <c r="A25" s="26" t="s">
        <v>220</v>
      </c>
      <c r="B25" s="49">
        <v>0</v>
      </c>
      <c r="C25" s="47" t="s">
        <v>191</v>
      </c>
      <c r="D25" s="48" t="s">
        <v>221</v>
      </c>
    </row>
    <row r="26" spans="1:4" x14ac:dyDescent="0.35">
      <c r="A26" s="63" t="s">
        <v>222</v>
      </c>
      <c r="B26" s="60"/>
      <c r="C26" s="60"/>
      <c r="D26" s="60"/>
    </row>
    <row r="27" spans="1:4" ht="15" customHeight="1" x14ac:dyDescent="0.35">
      <c r="A27" s="26" t="s">
        <v>223</v>
      </c>
      <c r="B27" s="52">
        <v>0.5553793494241519</v>
      </c>
      <c r="C27" s="47" t="s">
        <v>198</v>
      </c>
      <c r="D27" s="48" t="s">
        <v>224</v>
      </c>
    </row>
    <row r="28" spans="1:4" ht="15" customHeight="1" x14ac:dyDescent="0.35">
      <c r="A28" s="25" t="s">
        <v>225</v>
      </c>
      <c r="B28" s="50">
        <v>0.44462065057584821</v>
      </c>
      <c r="C28" s="44" t="s">
        <v>198</v>
      </c>
      <c r="D28" s="45" t="s">
        <v>226</v>
      </c>
    </row>
    <row r="29" spans="1:4" ht="15" customHeight="1" x14ac:dyDescent="0.35">
      <c r="A29" s="26" t="s">
        <v>227</v>
      </c>
      <c r="B29" s="52">
        <v>0.32056031384259792</v>
      </c>
      <c r="C29" s="47" t="s">
        <v>198</v>
      </c>
      <c r="D29" s="48" t="s">
        <v>228</v>
      </c>
    </row>
    <row r="30" spans="1:4" ht="15" customHeight="1" x14ac:dyDescent="0.35">
      <c r="A30" s="25" t="s">
        <v>229</v>
      </c>
      <c r="B30" s="50">
        <v>1.9799935163865429E-2</v>
      </c>
      <c r="C30" s="44" t="s">
        <v>198</v>
      </c>
      <c r="D30" s="45" t="s">
        <v>230</v>
      </c>
    </row>
    <row r="31" spans="1:4" ht="15" customHeight="1" x14ac:dyDescent="0.35">
      <c r="A31" s="26" t="s">
        <v>231</v>
      </c>
      <c r="B31" s="52">
        <v>1.9119279485712421E-2</v>
      </c>
      <c r="C31" s="47" t="s">
        <v>198</v>
      </c>
      <c r="D31" s="48" t="s">
        <v>232</v>
      </c>
    </row>
    <row r="32" spans="1:4" ht="15" customHeight="1" x14ac:dyDescent="0.35">
      <c r="A32" s="25" t="s">
        <v>233</v>
      </c>
      <c r="B32" s="50">
        <v>0.19519600662693801</v>
      </c>
      <c r="C32" s="44" t="s">
        <v>198</v>
      </c>
      <c r="D32" s="45" t="s">
        <v>234</v>
      </c>
    </row>
    <row r="33" spans="1:4" x14ac:dyDescent="0.35">
      <c r="A33" s="63" t="s">
        <v>235</v>
      </c>
      <c r="B33" s="60"/>
      <c r="C33" s="60"/>
      <c r="D33" s="60"/>
    </row>
    <row r="34" spans="1:4" ht="15" customHeight="1" x14ac:dyDescent="0.35">
      <c r="A34" s="25" t="s">
        <v>236</v>
      </c>
      <c r="B34" s="53" t="s">
        <v>237</v>
      </c>
      <c r="C34" s="44"/>
      <c r="D34" s="45" t="s">
        <v>238</v>
      </c>
    </row>
    <row r="35" spans="1:4" ht="15" customHeight="1" x14ac:dyDescent="0.35">
      <c r="A35" s="26" t="s">
        <v>239</v>
      </c>
      <c r="B35" s="46" t="s">
        <v>240</v>
      </c>
      <c r="C35" s="47"/>
      <c r="D35" s="48" t="s">
        <v>241</v>
      </c>
    </row>
    <row r="36" spans="1:4" ht="15" customHeight="1" x14ac:dyDescent="0.35">
      <c r="A36" s="25" t="s">
        <v>242</v>
      </c>
      <c r="B36" s="53" t="s">
        <v>243</v>
      </c>
      <c r="C36" s="44"/>
      <c r="D36" s="45" t="s">
        <v>244</v>
      </c>
    </row>
    <row r="37" spans="1:4" ht="15" customHeight="1" x14ac:dyDescent="0.35">
      <c r="A37" s="26" t="s">
        <v>245</v>
      </c>
      <c r="B37" s="52">
        <v>0.02</v>
      </c>
      <c r="C37" s="47" t="s">
        <v>198</v>
      </c>
      <c r="D37" s="48" t="s">
        <v>246</v>
      </c>
    </row>
    <row r="38" spans="1:4" ht="15" customHeight="1" x14ac:dyDescent="0.35">
      <c r="A38" s="25" t="s">
        <v>247</v>
      </c>
      <c r="B38" s="50">
        <v>0.03</v>
      </c>
      <c r="C38" s="44" t="s">
        <v>198</v>
      </c>
      <c r="D38" s="45" t="s">
        <v>248</v>
      </c>
    </row>
    <row r="39" spans="1:4" ht="15" customHeight="1" x14ac:dyDescent="0.35">
      <c r="A39" s="26" t="s">
        <v>249</v>
      </c>
      <c r="B39" s="52">
        <v>3.5000000000000003E-2</v>
      </c>
      <c r="C39" s="47" t="s">
        <v>198</v>
      </c>
      <c r="D39" s="48" t="s">
        <v>250</v>
      </c>
    </row>
    <row r="40" spans="1:4" x14ac:dyDescent="0.35">
      <c r="A40" s="63" t="s">
        <v>251</v>
      </c>
      <c r="B40" s="60"/>
      <c r="C40" s="60"/>
      <c r="D40" s="60"/>
    </row>
    <row r="41" spans="1:4" ht="15" customHeight="1" x14ac:dyDescent="0.35">
      <c r="A41" s="26" t="s">
        <v>164</v>
      </c>
      <c r="B41" s="51">
        <v>12.1</v>
      </c>
      <c r="C41" s="47" t="s">
        <v>200</v>
      </c>
      <c r="D41" s="48" t="s">
        <v>252</v>
      </c>
    </row>
    <row r="42" spans="1:4" ht="15" customHeight="1" x14ac:dyDescent="0.35">
      <c r="A42" s="25" t="s">
        <v>253</v>
      </c>
      <c r="B42" s="54">
        <v>13.78</v>
      </c>
      <c r="C42" s="44" t="s">
        <v>200</v>
      </c>
      <c r="D42" s="45" t="s">
        <v>252</v>
      </c>
    </row>
    <row r="43" spans="1:4" ht="15" customHeight="1" x14ac:dyDescent="0.35">
      <c r="A43" s="26" t="s">
        <v>254</v>
      </c>
      <c r="B43" s="51">
        <v>17.8</v>
      </c>
      <c r="C43" s="47" t="s">
        <v>200</v>
      </c>
      <c r="D43" s="48" t="s">
        <v>252</v>
      </c>
    </row>
  </sheetData>
  <mergeCells count="7">
    <mergeCell ref="A1:D1"/>
    <mergeCell ref="A40:D40"/>
    <mergeCell ref="A9:D9"/>
    <mergeCell ref="A3:D3"/>
    <mergeCell ref="A26:D26"/>
    <mergeCell ref="A19:D19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WACC Build-Up</vt:lpstr>
      <vt:lpstr>Historical Financials</vt:lpstr>
      <vt:lpstr>Bear Case</vt:lpstr>
      <vt:lpstr>Base Case</vt:lpstr>
      <vt:lpstr>Bull Case</vt:lpstr>
      <vt:lpstr>Sensitivity Analysis</vt:lpstr>
      <vt:lpstr>Comparable Companies</vt:lpstr>
      <vt:lpstr>Football Field</vt:lpstr>
      <vt:lpstr>Model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Pathak</cp:lastModifiedBy>
  <dcterms:created xsi:type="dcterms:W3CDTF">2026-02-26T02:11:24Z</dcterms:created>
  <dcterms:modified xsi:type="dcterms:W3CDTF">2026-02-26T02:12:00Z</dcterms:modified>
</cp:coreProperties>
</file>